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ookings" state="visible" r:id="rId5"/>
    <sheet sheetId="3" name="Operations" state="visible" r:id="rId6"/>
    <sheet sheetId="4" name="Detail (created this month)" state="visible" r:id="rId7"/>
    <sheet sheetId="5" name="Definitions" state="visible" r:id="rId8"/>
  </sheets>
  <definedNames>
    <definedName name="_xlnm.Print_Area" localSheetId="0">'Summary'!$A1:$I32</definedName>
    <definedName name="_xlnm.Print_Titles" localSheetId="3">'Detail (created this month)'!$1:$1</definedName>
  </definedNames>
  <calcPr calcId="171027"/>
</workbook>
</file>

<file path=xl/sharedStrings.xml><?xml version="1.0" encoding="utf-8"?>
<sst xmlns="http://schemas.openxmlformats.org/spreadsheetml/2006/main" count="284" uniqueCount="155">
  <si>
    <t>Monthly report — September 2026</t>
  </si>
  <si>
    <t>1 Sep 2026 – 30 Sep 2026 · all amounts in USD · tax on margin 10%</t>
  </si>
  <si>
    <t>REVENUE RECOGNISED</t>
  </si>
  <si>
    <t>GROSS PROFIT</t>
  </si>
  <si>
    <t>NET PROFIT</t>
  </si>
  <si>
    <t>CASH COLLECTED</t>
  </si>
  <si>
    <t>Trips that finished this month</t>
  </si>
  <si>
    <t>Gross margin 25.0%</t>
  </si>
  <si>
    <t>After tax and payment fees</t>
  </si>
  <si>
    <t>70 paid bookings</t>
  </si>
  <si>
    <t>From revenue to net profit</t>
  </si>
  <si>
    <t>LINE</t>
  </si>
  <si>
    <t>AMOUNT</t>
  </si>
  <si>
    <t>SHARE OF REVENUE</t>
  </si>
  <si>
    <t>Revenue recognised</t>
  </si>
  <si>
    <t>Cost of sales — per traveller</t>
  </si>
  <si>
    <t>Cost of sales — per departure</t>
  </si>
  <si>
    <t>Gross profit</t>
  </si>
  <si>
    <t>Tax on margin (10%)</t>
  </si>
  <si>
    <t>Payment processing</t>
  </si>
  <si>
    <t>Net profit</t>
  </si>
  <si>
    <t>15 departures ran this month.</t>
  </si>
  <si>
    <t>Bookings created this month</t>
  </si>
  <si>
    <t>STATUS</t>
  </si>
  <si>
    <t>BOOKINGS</t>
  </si>
  <si>
    <t>SHARE</t>
  </si>
  <si>
    <t>Paid</t>
  </si>
  <si>
    <t>Cancelled</t>
  </si>
  <si>
    <t>Total</t>
  </si>
  <si>
    <t>Money and operations</t>
  </si>
  <si>
    <t>Revenue (gross)</t>
  </si>
  <si>
    <t>Refund payments</t>
  </si>
  <si>
    <t>Paid bookings</t>
  </si>
  <si>
    <t>Cancelled within the deadline</t>
  </si>
  <si>
    <t>New bookings</t>
  </si>
  <si>
    <t>Cancelled after the deadline</t>
  </si>
  <si>
    <t>Refunds paid out</t>
  </si>
  <si>
    <t>Reviews approved</t>
  </si>
  <si>
    <t>How to read these numbers: see the Definitions sheet.</t>
  </si>
  <si>
    <t>Status</t>
  </si>
  <si>
    <t>Bookings</t>
  </si>
  <si>
    <t>Share</t>
  </si>
  <si>
    <t>Metric</t>
  </si>
  <si>
    <t>Value</t>
  </si>
  <si>
    <t>Code</t>
  </si>
  <si>
    <t>Tour</t>
  </si>
  <si>
    <t>Departure ends</t>
  </si>
  <si>
    <t>Travellers</t>
  </si>
  <si>
    <t>Refunded</t>
  </si>
  <si>
    <t>BK-0AWOM1UP</t>
  </si>
  <si>
    <t>Mỹ Sơn Sanctuary at Sunrise</t>
  </si>
  <si>
    <t>BK-TXKJ7AAC</t>
  </si>
  <si>
    <t>BK-I939GLYT</t>
  </si>
  <si>
    <t>Hanoi Heritage in a Day</t>
  </si>
  <si>
    <t>BK-IKR0XNTY</t>
  </si>
  <si>
    <t>Hội An Countryside, Basket Boat &amp; Cooking</t>
  </si>
  <si>
    <t>BK-ERNON32P</t>
  </si>
  <si>
    <t>Huế Imperial City &amp; Royal Tombs</t>
  </si>
  <si>
    <t>BK-510N7EAG</t>
  </si>
  <si>
    <t>Bát Tràng &amp; Red River Craft Villages</t>
  </si>
  <si>
    <t>BK-Q2EXV99Z</t>
  </si>
  <si>
    <t>Đà Lạt Highlands, Waterfalls &amp; Farms 3D2N</t>
  </si>
  <si>
    <t>BK-7X270IOH</t>
  </si>
  <si>
    <t>Phú Quốc 4-Island Hopping &amp; Snorkelling</t>
  </si>
  <si>
    <t>BK-ZTWO8LQU</t>
  </si>
  <si>
    <t>Bà Nà Hills &amp; Golden Bridge Day Trip</t>
  </si>
  <si>
    <t>BK-UPHXES8T</t>
  </si>
  <si>
    <t>Ninh Bình: Tràng An, Múa Cave &amp; Rice Fields</t>
  </si>
  <si>
    <t>BK-KO8QYED2</t>
  </si>
  <si>
    <t>Central Vietnam Honeymoon 5D4N</t>
  </si>
  <si>
    <t>BK-GH9VH9EF</t>
  </si>
  <si>
    <t>Sài Gòn City &amp; Củ Chi Tunnels</t>
  </si>
  <si>
    <t>BK-QA2PKGNX</t>
  </si>
  <si>
    <t>BK-1PS98J7V</t>
  </si>
  <si>
    <t>Central Heritage: Đà Nẵng–Hội An–Huế 4D3N</t>
  </si>
  <si>
    <t>BK-K9C0F1S1</t>
  </si>
  <si>
    <t>Hội An Old Town &amp; Lantern Evening</t>
  </si>
  <si>
    <t>BK-TAVM8QUI</t>
  </si>
  <si>
    <t>Lan Hạ Bay &amp; Cát Bà Kayak Cruise 3D2N</t>
  </si>
  <si>
    <t>BK-B07YL32V</t>
  </si>
  <si>
    <t>BK-9R041ZZX</t>
  </si>
  <si>
    <t>Hạ Long Bay Overnight Cruise 2D1N</t>
  </si>
  <si>
    <t>BK-D1ZYXL0H</t>
  </si>
  <si>
    <t>BK-QH64E2HL</t>
  </si>
  <si>
    <t>Quy Nhơn Coastal Escape 3D2N</t>
  </si>
  <si>
    <t>BK-LPUAMEPX</t>
  </si>
  <si>
    <t>BK-L1MEPS8V</t>
  </si>
  <si>
    <t>Phong Nha &amp; Paradise Cave Day Trip</t>
  </si>
  <si>
    <t>BK-CBQWFWI4</t>
  </si>
  <si>
    <t>Vũng Tàu Coastal Escape 2D1N</t>
  </si>
  <si>
    <t>BK-3C6G765X</t>
  </si>
  <si>
    <t>BK-J1LELQ6B</t>
  </si>
  <si>
    <t>BK-1VNBK8L0</t>
  </si>
  <si>
    <t>BK-V7E3RXTW</t>
  </si>
  <si>
    <t>Hà Giang Loop by Easyrider 4D3N</t>
  </si>
  <si>
    <t>BK-FMS4NJ5W</t>
  </si>
  <si>
    <t>BK-AKB4P714</t>
  </si>
  <si>
    <t>BK-G08VDSWW</t>
  </si>
  <si>
    <t>Mekong Delta &amp; Cái Răng Floating Market 2D1N</t>
  </si>
  <si>
    <t>BK-IWM2P986</t>
  </si>
  <si>
    <t>BK-TNNRXEJ7</t>
  </si>
  <si>
    <t>BK-3HSPRDR8</t>
  </si>
  <si>
    <t>Sa Pa Terraces &amp; Homestay Trek 2D1N</t>
  </si>
  <si>
    <t>BK-NJU9HMTV</t>
  </si>
  <si>
    <t>Sài Gòn After Dark by Vespa</t>
  </si>
  <si>
    <t>BK-GTRQCHQD</t>
  </si>
  <si>
    <t>Phú Quốc Honeymoon Hideaway 4D3N</t>
  </si>
  <si>
    <t>BK-C8DHKTXZ</t>
  </si>
  <si>
    <t>BK-YOHA5H5I</t>
  </si>
  <si>
    <t>BK-53JDEHSH</t>
  </si>
  <si>
    <t>BK-XJIMETFG</t>
  </si>
  <si>
    <t>BK-6UB7PERR</t>
  </si>
  <si>
    <t>BK-IN2E1AL0</t>
  </si>
  <si>
    <t>BK-NQCLPNB0</t>
  </si>
  <si>
    <t>BK-K3HFP4D9</t>
  </si>
  <si>
    <t>BK-ZDPYPJC8</t>
  </si>
  <si>
    <t>BK-64G0AD7W</t>
  </si>
  <si>
    <t>BK-QEOI4AIG</t>
  </si>
  <si>
    <t>BK-T6NTNT7R</t>
  </si>
  <si>
    <t>BK-LIN66Z7C</t>
  </si>
  <si>
    <t>BK-P4CZSO7J</t>
  </si>
  <si>
    <t>BK-YPTVC7E3</t>
  </si>
  <si>
    <t>Northern Highlights: Hanoi–Hạ Long–Ninh Bình 5D4N</t>
  </si>
  <si>
    <t>BK-6SZNKJSN</t>
  </si>
  <si>
    <t>BK-PIZWWWK4</t>
  </si>
  <si>
    <t>BK-OEKZIMUR</t>
  </si>
  <si>
    <t>BK-AEFFV6S5</t>
  </si>
  <si>
    <t>BK-L47LJJU1</t>
  </si>
  <si>
    <t>Hanoi Old Quarter Street Food by Night</t>
  </si>
  <si>
    <t>BK-8SAXSQMS</t>
  </si>
  <si>
    <t>BK-OOE4I8GR</t>
  </si>
  <si>
    <t>BK-L7HY0MZY</t>
  </si>
  <si>
    <t>Mai Châu Valley Cycling &amp; Stilt House 2D1N</t>
  </si>
  <si>
    <t>BK-HGW3PWHD</t>
  </si>
  <si>
    <t>BK-TJPO21MU</t>
  </si>
  <si>
    <t>BK-CX0ODAZY</t>
  </si>
  <si>
    <t>BK-H6WKY5IF</t>
  </si>
  <si>
    <t>BK-BZVFG43X</t>
  </si>
  <si>
    <t>BK-5CU5FL5G</t>
  </si>
  <si>
    <t>BK-G56UZO8K</t>
  </si>
  <si>
    <t>BK-5K2RG2OL</t>
  </si>
  <si>
    <t>BK-R2SQTZI6</t>
  </si>
  <si>
    <t>Bến Tre Coconut Country Day Trip</t>
  </si>
  <si>
    <t>BK-7WKW9ESB</t>
  </si>
  <si>
    <t>BK-PY7IZMD4</t>
  </si>
  <si>
    <t>BK-XKEHLSZL</t>
  </si>
  <si>
    <t>BK-FLKQBQSS</t>
  </si>
  <si>
    <t>How to read these numbers</t>
  </si>
  <si>
    <t>Revenue counts money taken in this month (by payment date) and is gross — refunds are not subtracted from it.</t>
  </si>
  <si>
    <t>Refunds paid out is money that left this month; a refund may belong to a booking paid in an earlier month.</t>
  </si>
  <si>
    <t>The status table follows the bookings created this month and shows where each one stands today, so it can change after the month closes.</t>
  </si>
  <si>
    <t>Revenue recognised counts trips that finished this month, so it differs from cash collected — money for a December trip is taken today but earned in December. Money kept from a cancelled booking counts as revenue too.</t>
  </si>
  <si>
    <t>Per-traveller costs follow the travellers who went, including anyone given a full goodwill refund; per-departure costs are charged once for each departure that ran with at least one traveller.</t>
  </si>
  <si>
    <t>Net profit is after cost of sales, tax and payment fees. It does not include salaries, rent or marketing.</t>
  </si>
  <si>
    <t>Cancellations are counted on the day they were made. Within the deadline means on or before the free-cancellation deadline of the trip (Vietnam time).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</si>
</sst>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#,##0.00;(#,##0.00)"/>
    <numFmt numFmtId="166" formatCode="0.0%"/>
    <numFmt numFmtId="167" formatCode="[$-409]d mmm yyyy"/>
  </numFmts>
  <fonts count="21" x14ac:knownFonts="1">
    <font>
      <color theme="1"/>
      <family val="2"/>
      <scheme val="minor"/>
      <sz val="11"/>
      <name val="Calibri"/>
    </font>
    <font>
      <b/>
      <color rgb="FF1F252B"/>
      <sz val="20"/>
      <name val="Cambria"/>
    </font>
    <font>
      <color rgb="FF5F646B"/>
      <sz val="10.5"/>
      <name val="Calibri"/>
    </font>
    <font>
      <color rgb="FF5F646B"/>
      <sz val="8"/>
      <name val="Consolas"/>
    </font>
    <font>
      <b/>
      <color rgb="FF1F252B"/>
      <sz val="17"/>
      <name val="Calibri"/>
    </font>
    <font>
      <color rgb="FF5F646B"/>
      <sz val="9"/>
      <name val="Calibri"/>
    </font>
    <font>
      <b/>
      <color rgb="FF1F252B"/>
      <sz val="12.5"/>
      <name val="Cambria"/>
    </font>
    <font>
      <b/>
      <color rgb="FF1F252B"/>
      <sz val="10.5"/>
      <name val="Calibri"/>
    </font>
    <font>
      <b/>
      <color rgb="FF1F252B"/>
      <sz val="10"/>
      <name val="Consolas"/>
    </font>
    <font>
      <color rgb="FF00897B"/>
      <sz val="10"/>
      <name val="Calibri"/>
    </font>
    <font>
      <color rgb="FF1F252B"/>
      <sz val="10.5"/>
      <name val="Calibri"/>
    </font>
    <font>
      <color rgb="FF1F252B"/>
      <sz val="10"/>
      <name val="Consolas"/>
    </font>
    <font>
      <color rgb="FFE0703A"/>
      <sz val="10"/>
      <name val="Calibri"/>
    </font>
    <font>
      <i/>
      <color rgb="FF5F646B"/>
      <sz val="9"/>
      <name val="Calibri"/>
    </font>
    <font>
      <color rgb="FF00897B"/>
      <sz val="10.5"/>
      <name val="Calibri"/>
    </font>
    <font>
      <color rgb="FFE0703A"/>
      <sz val="10.5"/>
      <name val="Calibri"/>
    </font>
    <font>
      <b/>
      <color rgb="FFFFFFFF"/>
      <sz val="10"/>
      <name val="Calibri"/>
    </font>
    <font>
      <u/>
      <color rgb="FF00897B"/>
      <sz val="10"/>
      <name val="Consolas"/>
    </font>
    <font>
      <color rgb="FF1F252B"/>
      <sz val="10"/>
      <name val="Calibri"/>
    </font>
    <font>
      <b/>
      <color rgb="FF1F252B"/>
      <sz val="15"/>
      <name val="Cambria"/>
    </font>
    <font>
      <b/>
      <color rgb="FF2E6E66"/>
      <sz val="1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EEF5F3"/>
      </patternFill>
    </fill>
    <fill>
      <patternFill patternType="solid">
        <fgColor rgb="FF2E6E66"/>
      </patternFill>
    </fill>
    <fill>
      <patternFill patternType="solid">
        <fgColor rgb="FFF5F7F8"/>
      </patternFill>
    </fill>
  </fills>
  <borders count="8">
    <border>
      <left/>
      <right/>
      <top/>
      <bottom/>
      <diagonal/>
    </border>
    <border>
      <left style="thin">
        <color rgb="FFDCDFE2"/>
      </left>
      <right style="thin">
        <color rgb="FFDCDFE2"/>
      </right>
      <top style="thin">
        <color rgb="FFDCDFE2"/>
      </top>
      <bottom/>
      <diagonal/>
    </border>
    <border>
      <left style="thin">
        <color rgb="FFDCDFE2"/>
      </left>
      <right style="thin">
        <color rgb="FFDCDFE2"/>
      </right>
      <top/>
      <bottom/>
      <diagonal/>
    </border>
    <border>
      <left style="thin">
        <color rgb="FFDCDFE2"/>
      </left>
      <right style="thin">
        <color rgb="FFDCDFE2"/>
      </right>
      <top/>
      <bottom style="thin">
        <color rgb="FFDCDFE2"/>
      </bottom>
      <diagonal/>
    </border>
    <border>
      <left/>
      <right/>
      <top/>
      <bottom style="thin">
        <color rgb="FF1F252B"/>
      </bottom>
      <diagonal/>
    </border>
    <border>
      <left/>
      <right/>
      <top style="thin">
        <color rgb="FF1F252B"/>
      </top>
      <bottom/>
      <diagonal/>
    </border>
    <border>
      <left/>
      <right/>
      <top style="thin">
        <color rgb="FF1F252B"/>
      </top>
      <bottom style="double">
        <color rgb="FF1F252B"/>
      </bottom>
      <diagonal/>
    </border>
    <border>
      <left/>
      <right/>
      <top/>
      <bottom style="thin">
        <color rgb="FFDCDFE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indent="1"/>
    </xf>
    <xf numFmtId="0" fontId="3" fillId="0" borderId="1" xfId="0" applyFont="1" applyBorder="1" applyAlignment="1">
      <alignment vertical="center" indent="1"/>
    </xf>
    <xf numFmtId="164" fontId="4" fillId="2" borderId="2" xfId="0" applyNumberFormat="1" applyFont="1" applyFill="1" applyBorder="1" applyAlignment="1">
      <alignment vertical="center" indent="1"/>
    </xf>
    <xf numFmtId="164" fontId="4" fillId="0" borderId="2" xfId="0" applyNumberFormat="1" applyFont="1" applyBorder="1" applyAlignment="1">
      <alignment vertical="center" indent="1"/>
    </xf>
    <xf numFmtId="0" fontId="5" fillId="2" borderId="3" xfId="0" applyFont="1" applyFill="1" applyBorder="1" applyAlignment="1">
      <alignment vertical="center" indent="1"/>
    </xf>
    <xf numFmtId="0" fontId="5" fillId="0" borderId="3" xfId="0" applyFont="1" applyBorder="1" applyAlignment="1">
      <alignment vertical="center" indent="1"/>
    </xf>
    <xf numFmtId="0" fontId="6" fillId="0" borderId="0" xfId="0" applyFont="1"/>
    <xf numFmtId="0" fontId="3" fillId="0" borderId="4" xfId="0" applyFont="1" applyBorder="1"/>
    <xf numFmtId="0" fontId="3" fillId="0" borderId="4" xfId="0" applyFont="1" applyBorder="1" applyAlignment="1">
      <alignment horizontal="right"/>
    </xf>
    <xf numFmtId="0" fontId="7" fillId="0" borderId="0" xfId="0" applyFont="1" applyAlignment="1">
      <alignment vertical="center"/>
    </xf>
    <xf numFmtId="165" fontId="8" fillId="0" borderId="0" xfId="0" applyNumberFormat="1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indent="2"/>
    </xf>
    <xf numFmtId="165" fontId="11" fillId="0" borderId="0" xfId="0" applyNumberFormat="1" applyFont="1"/>
    <xf numFmtId="0" fontId="12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165" fontId="8" fillId="0" borderId="5" xfId="0" applyNumberFormat="1" applyFont="1" applyBorder="1"/>
    <xf numFmtId="0" fontId="7" fillId="0" borderId="6" xfId="0" applyFont="1" applyBorder="1" applyAlignment="1">
      <alignment vertical="center"/>
    </xf>
    <xf numFmtId="165" fontId="8" fillId="0" borderId="6" xfId="0" applyNumberFormat="1" applyFont="1" applyBorder="1"/>
    <xf numFmtId="0" fontId="13" fillId="0" borderId="0" xfId="0" applyFont="1"/>
    <xf numFmtId="0" fontId="0" fillId="0" borderId="4" xfId="0" applyBorder="1"/>
    <xf numFmtId="0" fontId="10" fillId="0" borderId="0" xfId="0" applyFont="1"/>
    <xf numFmtId="3" fontId="11" fillId="0" borderId="0" xfId="0" applyNumberFormat="1" applyFont="1"/>
    <xf numFmtId="166" fontId="11" fillId="0" borderId="0" xfId="0" applyNumberFormat="1" applyFont="1"/>
    <xf numFmtId="0" fontId="14" fillId="0" borderId="0" xfId="0" applyFont="1"/>
    <xf numFmtId="0" fontId="15" fillId="0" borderId="0" xfId="0" applyFont="1"/>
    <xf numFmtId="0" fontId="7" fillId="0" borderId="5" xfId="0" applyFont="1" applyBorder="1"/>
    <xf numFmtId="3" fontId="8" fillId="0" borderId="5" xfId="0" applyNumberFormat="1" applyFont="1" applyBorder="1"/>
    <xf numFmtId="0" fontId="0" fillId="0" borderId="5" xfId="0" applyBorder="1"/>
    <xf numFmtId="0" fontId="10" fillId="0" borderId="7" xfId="0" applyFont="1" applyBorder="1"/>
    <xf numFmtId="165" fontId="8" fillId="0" borderId="7" xfId="0" applyNumberFormat="1" applyFont="1" applyBorder="1"/>
    <xf numFmtId="3" fontId="8" fillId="0" borderId="7" xfId="0" applyNumberFormat="1" applyFont="1" applyBorder="1"/>
    <xf numFmtId="0" fontId="16" fillId="3" borderId="0" xfId="0" applyFont="1" applyFill="1" applyAlignment="1">
      <alignment horizontal="left" vertical="center" indent="1"/>
    </xf>
    <xf numFmtId="3" fontId="0" fillId="0" borderId="0" xfId="0" applyNumberFormat="1"/>
    <xf numFmtId="166" fontId="0" fillId="0" borderId="0" xfId="0" applyNumberFormat="1"/>
    <xf numFmtId="3" fontId="7" fillId="0" borderId="5" xfId="0" applyNumberFormat="1" applyFont="1" applyBorder="1"/>
    <xf numFmtId="165" fontId="0" fillId="0" borderId="0" xfId="0" applyNumberFormat="1"/>
    <xf numFmtId="0" fontId="17" fillId="0" borderId="0" xfId="0" applyFont="1"/>
    <xf numFmtId="0" fontId="18" fillId="0" borderId="0" xfId="0" applyFont="1"/>
    <xf numFmtId="167" fontId="18" fillId="0" borderId="0" xfId="0" applyNumberFormat="1" applyFont="1"/>
    <xf numFmtId="3" fontId="18" fillId="0" borderId="0" xfId="0" applyNumberFormat="1" applyFont="1"/>
    <xf numFmtId="165" fontId="18" fillId="0" borderId="0" xfId="0" applyNumberFormat="1" applyFont="1"/>
    <xf numFmtId="0" fontId="17" fillId="4" borderId="0" xfId="0" applyFont="1" applyFill="1"/>
    <xf numFmtId="0" fontId="18" fillId="4" borderId="0" xfId="0" applyFont="1" applyFill="1"/>
    <xf numFmtId="167" fontId="18" fillId="4" borderId="0" xfId="0" applyNumberFormat="1" applyFont="1" applyFill="1"/>
    <xf numFmtId="3" fontId="18" fillId="4" borderId="0" xfId="0" applyNumberFormat="1" applyFont="1" applyFill="1"/>
    <xf numFmtId="165" fontId="18" fillId="4" borderId="0" xfId="0" applyNumberFormat="1" applyFont="1" applyFill="1"/>
    <xf numFmtId="0" fontId="12" fillId="4" borderId="0" xfId="0" applyFont="1" applyFill="1"/>
    <xf numFmtId="0" fontId="12" fillId="0" borderId="0" xfId="0" applyFont="1"/>
    <xf numFmtId="165" fontId="7" fillId="0" borderId="5" xfId="0" applyNumberFormat="1" applyFont="1" applyBorder="1"/>
    <xf numFmtId="0" fontId="19" fillId="0" borderId="0" xfId="0" applyFont="1"/>
    <xf numFmtId="0" fontId="20" fillId="0" borderId="0" xfId="0" applyFont="1" applyAlignment="1">
      <alignment vertical="top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admin.nexora-travel.agency/bookings/BK-0AWOM1UP" TargetMode="External"/><Relationship Id="rId2" Type="http://schemas.openxmlformats.org/officeDocument/2006/relationships/hyperlink" Target="https://admin.nexora-travel.agency/bookings/BK-TXKJ7AAC" TargetMode="External"/><Relationship Id="rId3" Type="http://schemas.openxmlformats.org/officeDocument/2006/relationships/hyperlink" Target="https://admin.nexora-travel.agency/bookings/BK-I939GLYT" TargetMode="External"/><Relationship Id="rId4" Type="http://schemas.openxmlformats.org/officeDocument/2006/relationships/hyperlink" Target="https://admin.nexora-travel.agency/bookings/BK-IKR0XNTY" TargetMode="External"/><Relationship Id="rId5" Type="http://schemas.openxmlformats.org/officeDocument/2006/relationships/hyperlink" Target="https://admin.nexora-travel.agency/bookings/BK-ERNON32P" TargetMode="External"/><Relationship Id="rId6" Type="http://schemas.openxmlformats.org/officeDocument/2006/relationships/hyperlink" Target="https://admin.nexora-travel.agency/bookings/BK-510N7EAG" TargetMode="External"/><Relationship Id="rId7" Type="http://schemas.openxmlformats.org/officeDocument/2006/relationships/hyperlink" Target="https://admin.nexora-travel.agency/bookings/BK-Q2EXV99Z" TargetMode="External"/><Relationship Id="rId8" Type="http://schemas.openxmlformats.org/officeDocument/2006/relationships/hyperlink" Target="https://admin.nexora-travel.agency/bookings/BK-7X270IOH" TargetMode="External"/><Relationship Id="rId9" Type="http://schemas.openxmlformats.org/officeDocument/2006/relationships/hyperlink" Target="https://admin.nexora-travel.agency/bookings/BK-ZTWO8LQU" TargetMode="External"/><Relationship Id="rId10" Type="http://schemas.openxmlformats.org/officeDocument/2006/relationships/hyperlink" Target="https://admin.nexora-travel.agency/bookings/BK-UPHXES8T" TargetMode="External"/><Relationship Id="rId11" Type="http://schemas.openxmlformats.org/officeDocument/2006/relationships/hyperlink" Target="https://admin.nexora-travel.agency/bookings/BK-KO8QYED2" TargetMode="External"/><Relationship Id="rId12" Type="http://schemas.openxmlformats.org/officeDocument/2006/relationships/hyperlink" Target="https://admin.nexora-travel.agency/bookings/BK-GH9VH9EF" TargetMode="External"/><Relationship Id="rId13" Type="http://schemas.openxmlformats.org/officeDocument/2006/relationships/hyperlink" Target="https://admin.nexora-travel.agency/bookings/BK-QA2PKGNX" TargetMode="External"/><Relationship Id="rId14" Type="http://schemas.openxmlformats.org/officeDocument/2006/relationships/hyperlink" Target="https://admin.nexora-travel.agency/bookings/BK-1PS98J7V" TargetMode="External"/><Relationship Id="rId15" Type="http://schemas.openxmlformats.org/officeDocument/2006/relationships/hyperlink" Target="https://admin.nexora-travel.agency/bookings/BK-K9C0F1S1" TargetMode="External"/><Relationship Id="rId16" Type="http://schemas.openxmlformats.org/officeDocument/2006/relationships/hyperlink" Target="https://admin.nexora-travel.agency/bookings/BK-TAVM8QUI" TargetMode="External"/><Relationship Id="rId17" Type="http://schemas.openxmlformats.org/officeDocument/2006/relationships/hyperlink" Target="https://admin.nexora-travel.agency/bookings/BK-B07YL32V" TargetMode="External"/><Relationship Id="rId18" Type="http://schemas.openxmlformats.org/officeDocument/2006/relationships/hyperlink" Target="https://admin.nexora-travel.agency/bookings/BK-9R041ZZX" TargetMode="External"/><Relationship Id="rId19" Type="http://schemas.openxmlformats.org/officeDocument/2006/relationships/hyperlink" Target="https://admin.nexora-travel.agency/bookings/BK-D1ZYXL0H" TargetMode="External"/><Relationship Id="rId20" Type="http://schemas.openxmlformats.org/officeDocument/2006/relationships/hyperlink" Target="https://admin.nexora-travel.agency/bookings/BK-QH64E2HL" TargetMode="External"/><Relationship Id="rId21" Type="http://schemas.openxmlformats.org/officeDocument/2006/relationships/hyperlink" Target="https://admin.nexora-travel.agency/bookings/BK-LPUAMEPX" TargetMode="External"/><Relationship Id="rId22" Type="http://schemas.openxmlformats.org/officeDocument/2006/relationships/hyperlink" Target="https://admin.nexora-travel.agency/bookings/BK-L1MEPS8V" TargetMode="External"/><Relationship Id="rId23" Type="http://schemas.openxmlformats.org/officeDocument/2006/relationships/hyperlink" Target="https://admin.nexora-travel.agency/bookings/BK-CBQWFWI4" TargetMode="External"/><Relationship Id="rId24" Type="http://schemas.openxmlformats.org/officeDocument/2006/relationships/hyperlink" Target="https://admin.nexora-travel.agency/bookings/BK-3C6G765X" TargetMode="External"/><Relationship Id="rId25" Type="http://schemas.openxmlformats.org/officeDocument/2006/relationships/hyperlink" Target="https://admin.nexora-travel.agency/bookings/BK-J1LELQ6B" TargetMode="External"/><Relationship Id="rId26" Type="http://schemas.openxmlformats.org/officeDocument/2006/relationships/hyperlink" Target="https://admin.nexora-travel.agency/bookings/BK-1VNBK8L0" TargetMode="External"/><Relationship Id="rId27" Type="http://schemas.openxmlformats.org/officeDocument/2006/relationships/hyperlink" Target="https://admin.nexora-travel.agency/bookings/BK-V7E3RXTW" TargetMode="External"/><Relationship Id="rId28" Type="http://schemas.openxmlformats.org/officeDocument/2006/relationships/hyperlink" Target="https://admin.nexora-travel.agency/bookings/BK-FMS4NJ5W" TargetMode="External"/><Relationship Id="rId29" Type="http://schemas.openxmlformats.org/officeDocument/2006/relationships/hyperlink" Target="https://admin.nexora-travel.agency/bookings/BK-AKB4P714" TargetMode="External"/><Relationship Id="rId30" Type="http://schemas.openxmlformats.org/officeDocument/2006/relationships/hyperlink" Target="https://admin.nexora-travel.agency/bookings/BK-G08VDSWW" TargetMode="External"/><Relationship Id="rId31" Type="http://schemas.openxmlformats.org/officeDocument/2006/relationships/hyperlink" Target="https://admin.nexora-travel.agency/bookings/BK-IWM2P986" TargetMode="External"/><Relationship Id="rId32" Type="http://schemas.openxmlformats.org/officeDocument/2006/relationships/hyperlink" Target="https://admin.nexora-travel.agency/bookings/BK-TNNRXEJ7" TargetMode="External"/><Relationship Id="rId33" Type="http://schemas.openxmlformats.org/officeDocument/2006/relationships/hyperlink" Target="https://admin.nexora-travel.agency/bookings/BK-3HSPRDR8" TargetMode="External"/><Relationship Id="rId34" Type="http://schemas.openxmlformats.org/officeDocument/2006/relationships/hyperlink" Target="https://admin.nexora-travel.agency/bookings/BK-NJU9HMTV" TargetMode="External"/><Relationship Id="rId35" Type="http://schemas.openxmlformats.org/officeDocument/2006/relationships/hyperlink" Target="https://admin.nexora-travel.agency/bookings/BK-GTRQCHQD" TargetMode="External"/><Relationship Id="rId36" Type="http://schemas.openxmlformats.org/officeDocument/2006/relationships/hyperlink" Target="https://admin.nexora-travel.agency/bookings/BK-C8DHKTXZ" TargetMode="External"/><Relationship Id="rId37" Type="http://schemas.openxmlformats.org/officeDocument/2006/relationships/hyperlink" Target="https://admin.nexora-travel.agency/bookings/BK-YOHA5H5I" TargetMode="External"/><Relationship Id="rId38" Type="http://schemas.openxmlformats.org/officeDocument/2006/relationships/hyperlink" Target="https://admin.nexora-travel.agency/bookings/BK-53JDEHSH" TargetMode="External"/><Relationship Id="rId39" Type="http://schemas.openxmlformats.org/officeDocument/2006/relationships/hyperlink" Target="https://admin.nexora-travel.agency/bookings/BK-XJIMETFG" TargetMode="External"/><Relationship Id="rId40" Type="http://schemas.openxmlformats.org/officeDocument/2006/relationships/hyperlink" Target="https://admin.nexora-travel.agency/bookings/BK-6UB7PERR" TargetMode="External"/><Relationship Id="rId41" Type="http://schemas.openxmlformats.org/officeDocument/2006/relationships/hyperlink" Target="https://admin.nexora-travel.agency/bookings/BK-IN2E1AL0" TargetMode="External"/><Relationship Id="rId42" Type="http://schemas.openxmlformats.org/officeDocument/2006/relationships/hyperlink" Target="https://admin.nexora-travel.agency/bookings/BK-NQCLPNB0" TargetMode="External"/><Relationship Id="rId43" Type="http://schemas.openxmlformats.org/officeDocument/2006/relationships/hyperlink" Target="https://admin.nexora-travel.agency/bookings/BK-K3HFP4D9" TargetMode="External"/><Relationship Id="rId44" Type="http://schemas.openxmlformats.org/officeDocument/2006/relationships/hyperlink" Target="https://admin.nexora-travel.agency/bookings/BK-ZDPYPJC8" TargetMode="External"/><Relationship Id="rId45" Type="http://schemas.openxmlformats.org/officeDocument/2006/relationships/hyperlink" Target="https://admin.nexora-travel.agency/bookings/BK-64G0AD7W" TargetMode="External"/><Relationship Id="rId46" Type="http://schemas.openxmlformats.org/officeDocument/2006/relationships/hyperlink" Target="https://admin.nexora-travel.agency/bookings/BK-QEOI4AIG" TargetMode="External"/><Relationship Id="rId47" Type="http://schemas.openxmlformats.org/officeDocument/2006/relationships/hyperlink" Target="https://admin.nexora-travel.agency/bookings/BK-T6NTNT7R" TargetMode="External"/><Relationship Id="rId48" Type="http://schemas.openxmlformats.org/officeDocument/2006/relationships/hyperlink" Target="https://admin.nexora-travel.agency/bookings/BK-LIN66Z7C" TargetMode="External"/><Relationship Id="rId49" Type="http://schemas.openxmlformats.org/officeDocument/2006/relationships/hyperlink" Target="https://admin.nexora-travel.agency/bookings/BK-P4CZSO7J" TargetMode="External"/><Relationship Id="rId50" Type="http://schemas.openxmlformats.org/officeDocument/2006/relationships/hyperlink" Target="https://admin.nexora-travel.agency/bookings/BK-YPTVC7E3" TargetMode="External"/><Relationship Id="rId51" Type="http://schemas.openxmlformats.org/officeDocument/2006/relationships/hyperlink" Target="https://admin.nexora-travel.agency/bookings/BK-6SZNKJSN" TargetMode="External"/><Relationship Id="rId52" Type="http://schemas.openxmlformats.org/officeDocument/2006/relationships/hyperlink" Target="https://admin.nexora-travel.agency/bookings/BK-PIZWWWK4" TargetMode="External"/><Relationship Id="rId53" Type="http://schemas.openxmlformats.org/officeDocument/2006/relationships/hyperlink" Target="https://admin.nexora-travel.agency/bookings/BK-OEKZIMUR" TargetMode="External"/><Relationship Id="rId54" Type="http://schemas.openxmlformats.org/officeDocument/2006/relationships/hyperlink" Target="https://admin.nexora-travel.agency/bookings/BK-AEFFV6S5" TargetMode="External"/><Relationship Id="rId55" Type="http://schemas.openxmlformats.org/officeDocument/2006/relationships/hyperlink" Target="https://admin.nexora-travel.agency/bookings/BK-L47LJJU1" TargetMode="External"/><Relationship Id="rId56" Type="http://schemas.openxmlformats.org/officeDocument/2006/relationships/hyperlink" Target="https://admin.nexora-travel.agency/bookings/BK-8SAXSQMS" TargetMode="External"/><Relationship Id="rId57" Type="http://schemas.openxmlformats.org/officeDocument/2006/relationships/hyperlink" Target="https://admin.nexora-travel.agency/bookings/BK-OOE4I8GR" TargetMode="External"/><Relationship Id="rId58" Type="http://schemas.openxmlformats.org/officeDocument/2006/relationships/hyperlink" Target="https://admin.nexora-travel.agency/bookings/BK-L7HY0MZY" TargetMode="External"/><Relationship Id="rId59" Type="http://schemas.openxmlformats.org/officeDocument/2006/relationships/hyperlink" Target="https://admin.nexora-travel.agency/bookings/BK-HGW3PWHD" TargetMode="External"/><Relationship Id="rId60" Type="http://schemas.openxmlformats.org/officeDocument/2006/relationships/hyperlink" Target="https://admin.nexora-travel.agency/bookings/BK-TJPO21MU" TargetMode="External"/><Relationship Id="rId61" Type="http://schemas.openxmlformats.org/officeDocument/2006/relationships/hyperlink" Target="https://admin.nexora-travel.agency/bookings/BK-CX0ODAZY" TargetMode="External"/><Relationship Id="rId62" Type="http://schemas.openxmlformats.org/officeDocument/2006/relationships/hyperlink" Target="https://admin.nexora-travel.agency/bookings/BK-H6WKY5IF" TargetMode="External"/><Relationship Id="rId63" Type="http://schemas.openxmlformats.org/officeDocument/2006/relationships/hyperlink" Target="https://admin.nexora-travel.agency/bookings/BK-BZVFG43X" TargetMode="External"/><Relationship Id="rId64" Type="http://schemas.openxmlformats.org/officeDocument/2006/relationships/hyperlink" Target="https://admin.nexora-travel.agency/bookings/BK-5CU5FL5G" TargetMode="External"/><Relationship Id="rId65" Type="http://schemas.openxmlformats.org/officeDocument/2006/relationships/hyperlink" Target="https://admin.nexora-travel.agency/bookings/BK-G56UZO8K" TargetMode="External"/><Relationship Id="rId66" Type="http://schemas.openxmlformats.org/officeDocument/2006/relationships/hyperlink" Target="https://admin.nexora-travel.agency/bookings/BK-5K2RG2OL" TargetMode="External"/><Relationship Id="rId67" Type="http://schemas.openxmlformats.org/officeDocument/2006/relationships/hyperlink" Target="https://admin.nexora-travel.agency/bookings/BK-R2SQTZI6" TargetMode="External"/><Relationship Id="rId68" Type="http://schemas.openxmlformats.org/officeDocument/2006/relationships/hyperlink" Target="https://admin.nexora-travel.agency/bookings/BK-7WKW9ESB" TargetMode="External"/><Relationship Id="rId69" Type="http://schemas.openxmlformats.org/officeDocument/2006/relationships/hyperlink" Target="https://admin.nexora-travel.agency/bookings/BK-PY7IZMD4" TargetMode="External"/><Relationship Id="rId70" Type="http://schemas.openxmlformats.org/officeDocument/2006/relationships/hyperlink" Target="https://admin.nexora-travel.agency/bookings/BK-XKEHLSZL" TargetMode="External"/><Relationship Id="rId71" Type="http://schemas.openxmlformats.org/officeDocument/2006/relationships/hyperlink" Target="https://admin.nexora-travel.agency/bookings/BK-FLKQBQ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E66"/>
    <pageSetUpPr fitToPage="1"/>
  </sheetPr>
  <dimension ref="B2:I32"/>
  <sheetViews>
    <sheetView workbookViewId="0" showGridLines="0"/>
  </sheetViews>
  <sheetFormatPr defaultRowHeight="18" outlineLevelRow="0" outlineLevelCol="0" x14ac:dyDescent="55" customHeight="1"/>
  <cols>
    <col min="1" max="1" width="2" customWidth="1"/>
    <col min="2" max="3" width="14" customWidth="1"/>
    <col min="4" max="4" width="13" customWidth="1"/>
    <col min="5" max="5" width="14" customWidth="1"/>
    <col min="6" max="8" width="13" customWidth="1"/>
    <col min="9" max="9" width="14" customWidth="1"/>
  </cols>
  <sheetData>
    <row r="2" ht="34" customHeight="1" spans="2:9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25">
      <c r="B3" s="2" t="s">
        <v>1</v>
      </c>
      <c r="C3" s="2"/>
      <c r="D3" s="2"/>
      <c r="E3" s="2"/>
      <c r="F3" s="2"/>
      <c r="G3" s="2"/>
      <c r="H3" s="2"/>
      <c r="I3" s="2"/>
    </row>
    <row r="5" ht="20" customHeight="1" spans="2:9" x14ac:dyDescent="0.25">
      <c r="B5" s="3" t="s">
        <v>2</v>
      </c>
      <c r="C5" s="3"/>
      <c r="D5" s="4" t="s">
        <v>3</v>
      </c>
      <c r="E5" s="4"/>
      <c r="F5" s="4" t="s">
        <v>4</v>
      </c>
      <c r="G5" s="4"/>
      <c r="H5" s="4" t="s">
        <v>5</v>
      </c>
      <c r="I5" s="4"/>
    </row>
    <row r="6" ht="28" customHeight="1" spans="2:9" x14ac:dyDescent="0.25">
      <c r="B6" s="5">
        <v>39607.8</v>
      </c>
      <c r="C6" s="5"/>
      <c r="D6" s="6">
        <v>9918.26</v>
      </c>
      <c r="E6" s="6"/>
      <c r="F6" s="6">
        <v>7990.67</v>
      </c>
      <c r="G6" s="6"/>
      <c r="H6" s="6">
        <v>31543.39</v>
      </c>
      <c r="I6" s="6"/>
    </row>
    <row r="7" ht="18" customHeight="1" spans="2:9" x14ac:dyDescent="0.25">
      <c r="B7" s="7" t="s">
        <v>6</v>
      </c>
      <c r="C7" s="7"/>
      <c r="D7" s="8" t="s">
        <v>7</v>
      </c>
      <c r="E7" s="8"/>
      <c r="F7" s="8" t="s">
        <v>8</v>
      </c>
      <c r="G7" s="8"/>
      <c r="H7" s="8" t="s">
        <v>9</v>
      </c>
      <c r="I7" s="8"/>
    </row>
    <row r="9" ht="24" customHeight="1" spans="2:2" x14ac:dyDescent="0.25">
      <c r="B9" s="9" t="s">
        <v>10</v>
      </c>
    </row>
    <row r="10" spans="2:9" x14ac:dyDescent="0.25">
      <c r="B10" s="10" t="s">
        <v>11</v>
      </c>
      <c r="C10" s="10"/>
      <c r="D10" s="10"/>
      <c r="E10" s="11" t="s">
        <v>12</v>
      </c>
      <c r="F10" s="10" t="s">
        <v>13</v>
      </c>
      <c r="G10" s="10"/>
      <c r="H10" s="10"/>
      <c r="I10" s="10"/>
    </row>
    <row r="11" ht="20" customHeight="1" spans="2:9" x14ac:dyDescent="0.25">
      <c r="B11" s="12" t="s">
        <v>14</v>
      </c>
      <c r="C11" s="12"/>
      <c r="D11" s="12"/>
      <c r="E11" s="13">
        <v>39607.8</v>
      </c>
      <c r="F11" s="14" t="str">
        <f>REPT("█",MAX(1,ROUND(ABS(E11)/$E$11*30,0)))</f>
        <v>██████████████████████████████</v>
      </c>
      <c r="G11" s="14"/>
      <c r="H11" s="14"/>
      <c r="I11" s="14"/>
    </row>
    <row r="12" ht="20" customHeight="1" spans="2:9" x14ac:dyDescent="0.25">
      <c r="B12" s="15" t="s">
        <v>15</v>
      </c>
      <c r="C12" s="15"/>
      <c r="D12" s="15"/>
      <c r="E12" s="16">
        <v>-25737.54</v>
      </c>
      <c r="F12" s="17" t="str">
        <f>REPT("█",MAX(1,ROUND(ABS(E12)/$E$11*30,0)))</f>
        <v>███████████████████</v>
      </c>
      <c r="G12" s="17"/>
      <c r="H12" s="17"/>
      <c r="I12" s="17"/>
    </row>
    <row r="13" ht="20" customHeight="1" spans="2:9" x14ac:dyDescent="0.25">
      <c r="B13" s="15" t="s">
        <v>16</v>
      </c>
      <c r="C13" s="15"/>
      <c r="D13" s="15"/>
      <c r="E13" s="16">
        <v>-3952</v>
      </c>
      <c r="F13" s="17" t="str">
        <f>REPT("█",MAX(1,ROUND(ABS(E13)/$E$11*30,0)))</f>
        <v>███</v>
      </c>
      <c r="G13" s="17"/>
      <c r="H13" s="17"/>
      <c r="I13" s="17"/>
    </row>
    <row r="14" ht="20" customHeight="1" spans="2:9" x14ac:dyDescent="0.25">
      <c r="B14" s="18" t="s">
        <v>17</v>
      </c>
      <c r="C14" s="18"/>
      <c r="D14" s="18"/>
      <c r="E14" s="19">
        <v>9918.26</v>
      </c>
      <c r="F14" s="14" t="str">
        <f>REPT("█",MAX(1,ROUND(ABS(E14)/$E$11*30,0)))</f>
        <v>████████</v>
      </c>
      <c r="G14" s="14"/>
      <c r="H14" s="14"/>
      <c r="I14" s="14"/>
    </row>
    <row r="15" ht="20" customHeight="1" spans="2:9" x14ac:dyDescent="0.25">
      <c r="B15" s="15" t="s">
        <v>18</v>
      </c>
      <c r="C15" s="15"/>
      <c r="D15" s="15"/>
      <c r="E15" s="16">
        <v>-991.83</v>
      </c>
      <c r="F15" s="17" t="str">
        <f>REPT("█",MAX(1,ROUND(ABS(E15)/$E$11*30,0)))</f>
        <v>█</v>
      </c>
      <c r="G15" s="17"/>
      <c r="H15" s="17"/>
      <c r="I15" s="17"/>
    </row>
    <row r="16" ht="20" customHeight="1" spans="2:9" x14ac:dyDescent="0.25">
      <c r="B16" s="15" t="s">
        <v>19</v>
      </c>
      <c r="C16" s="15"/>
      <c r="D16" s="15"/>
      <c r="E16" s="16">
        <v>-935.76</v>
      </c>
      <c r="F16" s="17" t="str">
        <f>REPT("█",MAX(1,ROUND(ABS(E16)/$E$11*30,0)))</f>
        <v>█</v>
      </c>
      <c r="G16" s="17"/>
      <c r="H16" s="17"/>
      <c r="I16" s="17"/>
    </row>
    <row r="17" ht="20" customHeight="1" spans="2:9" x14ac:dyDescent="0.25">
      <c r="B17" s="20" t="s">
        <v>20</v>
      </c>
      <c r="C17" s="20"/>
      <c r="D17" s="20"/>
      <c r="E17" s="21">
        <v>7990.67</v>
      </c>
      <c r="F17" s="14" t="str">
        <f>REPT("█",MAX(1,ROUND(ABS(E17)/$E$11*30,0)))</f>
        <v>██████</v>
      </c>
      <c r="G17" s="14"/>
      <c r="H17" s="14"/>
      <c r="I17" s="14"/>
    </row>
    <row r="18" spans="2:2" x14ac:dyDescent="0.25">
      <c r="B18" s="22" t="s">
        <v>21</v>
      </c>
    </row>
    <row r="20" ht="24" customHeight="1" spans="2:2" x14ac:dyDescent="0.25">
      <c r="B20" s="9" t="s">
        <v>22</v>
      </c>
    </row>
    <row r="21" spans="2:9" x14ac:dyDescent="0.25">
      <c r="B21" s="10" t="s">
        <v>23</v>
      </c>
      <c r="C21" s="10" t="s">
        <v>24</v>
      </c>
      <c r="D21" s="10" t="s">
        <v>25</v>
      </c>
      <c r="E21" s="23"/>
      <c r="F21" s="23"/>
      <c r="G21" s="23"/>
      <c r="H21" s="23"/>
      <c r="I21" s="23"/>
    </row>
    <row r="22" spans="2:9" x14ac:dyDescent="0.25">
      <c r="B22" s="24" t="s">
        <v>26</v>
      </c>
      <c r="C22" s="25">
        <v>65</v>
      </c>
      <c r="D22" s="26">
        <f>C22/C24</f>
        <v>0.9154929577464789</v>
      </c>
      <c r="E22" s="27" t="str">
        <f>REPT("█",MAX(1,ROUND(D22*40,0)))</f>
        <v>█████████████████████████████████████</v>
      </c>
      <c r="F22" s="27"/>
      <c r="G22" s="27"/>
      <c r="H22" s="27"/>
      <c r="I22" s="27"/>
    </row>
    <row r="23" spans="2:9" x14ac:dyDescent="0.25">
      <c r="B23" s="24" t="s">
        <v>27</v>
      </c>
      <c r="C23" s="25">
        <v>6</v>
      </c>
      <c r="D23" s="26">
        <f>C23/C24</f>
        <v>0.08450704225352113</v>
      </c>
      <c r="E23" s="28" t="str">
        <f>REPT("█",MAX(1,ROUND(D23*40,0)))</f>
        <v>███</v>
      </c>
      <c r="F23" s="28"/>
      <c r="G23" s="28"/>
      <c r="H23" s="28"/>
      <c r="I23" s="28"/>
    </row>
    <row r="24" spans="2:4" x14ac:dyDescent="0.25">
      <c r="B24" s="29" t="s">
        <v>28</v>
      </c>
      <c r="C24" s="30">
        <f>SUM(C22:C23)</f>
        <v>71</v>
      </c>
      <c r="D24" s="31"/>
    </row>
    <row r="26" ht="24" customHeight="1" spans="2:2" x14ac:dyDescent="0.25">
      <c r="B26" s="9" t="s">
        <v>29</v>
      </c>
    </row>
    <row r="27" spans="2:9" x14ac:dyDescent="0.25">
      <c r="B27" s="32" t="s">
        <v>30</v>
      </c>
      <c r="C27" s="32"/>
      <c r="D27" s="32"/>
      <c r="E27" s="33">
        <v>31543.39</v>
      </c>
      <c r="F27" s="32" t="s">
        <v>31</v>
      </c>
      <c r="G27" s="32"/>
      <c r="H27" s="32"/>
      <c r="I27" s="34">
        <v>6</v>
      </c>
    </row>
    <row r="28" spans="2:9" x14ac:dyDescent="0.25">
      <c r="B28" s="32" t="s">
        <v>32</v>
      </c>
      <c r="C28" s="32"/>
      <c r="D28" s="32"/>
      <c r="E28" s="34">
        <v>70</v>
      </c>
      <c r="F28" s="32" t="s">
        <v>33</v>
      </c>
      <c r="G28" s="32"/>
      <c r="H28" s="32"/>
      <c r="I28" s="34">
        <v>4</v>
      </c>
    </row>
    <row r="29" spans="2:9" x14ac:dyDescent="0.25">
      <c r="B29" s="32" t="s">
        <v>34</v>
      </c>
      <c r="C29" s="32"/>
      <c r="D29" s="32"/>
      <c r="E29" s="34">
        <v>71</v>
      </c>
      <c r="F29" s="32" t="s">
        <v>35</v>
      </c>
      <c r="G29" s="32"/>
      <c r="H29" s="32"/>
      <c r="I29" s="34">
        <v>2</v>
      </c>
    </row>
    <row r="30" spans="2:9" x14ac:dyDescent="0.25">
      <c r="B30" s="32" t="s">
        <v>36</v>
      </c>
      <c r="C30" s="32"/>
      <c r="D30" s="32"/>
      <c r="E30" s="33">
        <v>1826</v>
      </c>
      <c r="F30" s="32" t="s">
        <v>37</v>
      </c>
      <c r="G30" s="32"/>
      <c r="H30" s="32"/>
      <c r="I30" s="34">
        <v>10</v>
      </c>
    </row>
    <row r="32" spans="2:2" x14ac:dyDescent="0.25">
      <c r="B32" s="22" t="s">
        <v>38</v>
      </c>
    </row>
  </sheetData>
  <mergeCells count="40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10:D10"/>
    <mergeCell ref="F10:I10"/>
    <mergeCell ref="B11:D11"/>
    <mergeCell ref="F11:I11"/>
    <mergeCell ref="B12:D12"/>
    <mergeCell ref="F12:I12"/>
    <mergeCell ref="B13:D13"/>
    <mergeCell ref="F13:I13"/>
    <mergeCell ref="B14:D14"/>
    <mergeCell ref="F14:I14"/>
    <mergeCell ref="B15:D15"/>
    <mergeCell ref="F15:I15"/>
    <mergeCell ref="B16:D16"/>
    <mergeCell ref="F16:I16"/>
    <mergeCell ref="B17:D17"/>
    <mergeCell ref="F17:I17"/>
    <mergeCell ref="E22:I22"/>
    <mergeCell ref="E23:I23"/>
    <mergeCell ref="B27:D27"/>
    <mergeCell ref="F27:H27"/>
    <mergeCell ref="B28:D28"/>
    <mergeCell ref="F28:H28"/>
    <mergeCell ref="B29:D29"/>
    <mergeCell ref="F29:H29"/>
    <mergeCell ref="B30:D30"/>
    <mergeCell ref="F30:H30"/>
  </mergeCells>
  <printOptions horizontalCentered="1"/>
  <pageMargins left="0.5" right="0.5" top="0.8" bottom="0.8" header="0.3" footer="0.3"/>
  <pageSetup paperSize="9" orientation="portrait" horizontalDpi="4294967295" verticalDpi="4294967295" scale="100" fitToWidth="1" fitToHeight="0"/>
  <headerFooter>
    <oddHeader>&amp;L&amp;"Calibri,Bold"Nexora back office&amp;C&amp;"Calibri,Regular"Monthly report · September 2026&amp;R&amp;"Calibri,Regular"Internal — not for distribution</oddHeader>
    <oddFooter>&amp;L&amp;"Calibri,Regular"Generated 10 Oct 2026, 02:30 UTC&amp;R&amp;"Calibri,Regular"Page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646B"/>
    <pageSetUpPr fitToPage="1"/>
  </sheetPr>
  <dimension ref="A1:C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4" customWidth="1"/>
    <col min="3" max="3" width="12" customWidth="1"/>
  </cols>
  <sheetData>
    <row r="1" ht="22" customHeight="1" spans="1:3" x14ac:dyDescent="0.25">
      <c r="A1" s="35" t="s">
        <v>39</v>
      </c>
      <c r="B1" s="35" t="s">
        <v>40</v>
      </c>
      <c r="C1" s="35" t="s">
        <v>41</v>
      </c>
    </row>
    <row r="2" spans="1:3" x14ac:dyDescent="0.25">
      <c r="A2" t="s">
        <v>26</v>
      </c>
      <c r="B2" s="36">
        <v>65</v>
      </c>
      <c r="C2" s="37">
        <f>B2/B4</f>
        <v>0.9154929577464789</v>
      </c>
    </row>
    <row r="3" spans="1:3" x14ac:dyDescent="0.25">
      <c r="A3" t="s">
        <v>27</v>
      </c>
      <c r="B3" s="36">
        <v>6</v>
      </c>
      <c r="C3" s="37">
        <f>B3/B4</f>
        <v>0.08450704225352113</v>
      </c>
    </row>
    <row r="4" spans="1:3" x14ac:dyDescent="0.25">
      <c r="A4" s="29" t="s">
        <v>28</v>
      </c>
      <c r="B4" s="38">
        <f>SUM(B2:B3)</f>
        <v>71</v>
      </c>
      <c r="C4" s="29"/>
    </row>
  </sheetData>
  <printOptions horizontalCentered="1"/>
  <pageMargins left="0.5" right="0.5" top="0.8" bottom="0.8" header="0.3" footer="0.3"/>
  <pageSetup paperSize="9" orientation="portrait" horizontalDpi="4294967295" verticalDpi="4294967295" scale="100" fitToWidth="1" fitToHeight="0"/>
  <headerFooter>
    <oddHeader>&amp;L&amp;"Calibri,Bold"Nexora back office&amp;C&amp;"Calibri,Regular"Monthly report · September 2026&amp;R&amp;"Calibri,Regular"Internal — not for distribution</oddHeader>
    <oddFooter>&amp;L&amp;"Calibri,Regular"Generated 10 Oct 2026, 02:30 UTC&amp;R&amp;"Calibri,Regular"Page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646B"/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4" customWidth="1"/>
    <col min="2" max="2" width="16" customWidth="1"/>
  </cols>
  <sheetData>
    <row r="1" ht="22" customHeight="1" spans="1:2" x14ac:dyDescent="0.25">
      <c r="A1" s="35" t="s">
        <v>42</v>
      </c>
      <c r="B1" s="35" t="s">
        <v>43</v>
      </c>
    </row>
    <row r="2" spans="1:2" x14ac:dyDescent="0.25">
      <c r="A2" t="s">
        <v>30</v>
      </c>
      <c r="B2" s="39">
        <v>31543.39</v>
      </c>
    </row>
    <row r="3" spans="1:2" x14ac:dyDescent="0.25">
      <c r="A3" t="s">
        <v>32</v>
      </c>
      <c r="B3" s="36">
        <v>70</v>
      </c>
    </row>
    <row r="4" spans="1:2" x14ac:dyDescent="0.25">
      <c r="A4" t="s">
        <v>34</v>
      </c>
      <c r="B4" s="36">
        <v>71</v>
      </c>
    </row>
    <row r="5" spans="1:2" x14ac:dyDescent="0.25">
      <c r="A5" t="s">
        <v>36</v>
      </c>
      <c r="B5" s="39">
        <v>1826</v>
      </c>
    </row>
    <row r="6" spans="1:2" x14ac:dyDescent="0.25">
      <c r="A6" t="s">
        <v>31</v>
      </c>
      <c r="B6" s="36">
        <v>6</v>
      </c>
    </row>
    <row r="7" spans="1:2" x14ac:dyDescent="0.25">
      <c r="A7" t="s">
        <v>33</v>
      </c>
      <c r="B7" s="36">
        <v>4</v>
      </c>
    </row>
    <row r="8" spans="1:2" x14ac:dyDescent="0.25">
      <c r="A8" t="s">
        <v>35</v>
      </c>
      <c r="B8" s="36">
        <v>2</v>
      </c>
    </row>
    <row r="9" spans="1:2" x14ac:dyDescent="0.25">
      <c r="A9" t="s">
        <v>37</v>
      </c>
      <c r="B9" s="36">
        <v>10</v>
      </c>
    </row>
  </sheetData>
  <printOptions horizontalCentered="1"/>
  <pageMargins left="0.5" right="0.5" top="0.8" bottom="0.8" header="0.3" footer="0.3"/>
  <pageSetup paperSize="9" orientation="portrait" horizontalDpi="4294967295" verticalDpi="4294967295" scale="100" fitToWidth="1" fitToHeight="0"/>
  <headerFooter>
    <oddHeader>&amp;L&amp;"Calibri,Bold"Nexora back office&amp;C&amp;"Calibri,Regular"Monthly report · September 2026&amp;R&amp;"Calibri,Regular"Internal — not for distribution</oddHeader>
    <oddFooter>&amp;L&amp;"Calibri,Regular"Generated 10 Oct 2026, 02:30 UTC&amp;R&amp;"Calibri,Regular"Page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F646B"/>
    <pageSetUpPr fitToPage="1"/>
  </sheetPr>
  <dimension ref="A1:G73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46" customWidth="1"/>
    <col min="3" max="3" width="19" customWidth="1"/>
    <col min="4" max="4" width="14" customWidth="1"/>
    <col min="5" max="6" width="15" customWidth="1"/>
    <col min="7" max="7" width="14" customWidth="1"/>
  </cols>
  <sheetData>
    <row r="1" ht="22" customHeight="1" spans="1:7" x14ac:dyDescent="0.25">
      <c r="A1" s="35" t="s">
        <v>44</v>
      </c>
      <c r="B1" s="35" t="s">
        <v>45</v>
      </c>
      <c r="C1" s="35" t="s">
        <v>46</v>
      </c>
      <c r="D1" s="35" t="s">
        <v>47</v>
      </c>
      <c r="E1" s="35" t="s">
        <v>28</v>
      </c>
      <c r="F1" s="35" t="s">
        <v>48</v>
      </c>
      <c r="G1" s="35" t="s">
        <v>39</v>
      </c>
    </row>
    <row r="2" spans="1:7" x14ac:dyDescent="0.25">
      <c r="A2" s="40" t="s">
        <v>49</v>
      </c>
      <c r="B2" s="41" t="s">
        <v>50</v>
      </c>
      <c r="C2" s="42">
        <v>46300</v>
      </c>
      <c r="D2" s="43">
        <v>1</v>
      </c>
      <c r="E2" s="44">
        <v>36</v>
      </c>
      <c r="F2" s="44">
        <v>0</v>
      </c>
      <c r="G2" s="41" t="s">
        <v>26</v>
      </c>
    </row>
    <row r="3" spans="1:7" x14ac:dyDescent="0.25">
      <c r="A3" s="45" t="s">
        <v>51</v>
      </c>
      <c r="B3" s="46" t="s">
        <v>50</v>
      </c>
      <c r="C3" s="47">
        <v>46374</v>
      </c>
      <c r="D3" s="48">
        <v>3</v>
      </c>
      <c r="E3" s="49">
        <v>108</v>
      </c>
      <c r="F3" s="49">
        <v>0</v>
      </c>
      <c r="G3" s="46" t="s">
        <v>26</v>
      </c>
    </row>
    <row r="4" spans="1:7" x14ac:dyDescent="0.25">
      <c r="A4" s="40" t="s">
        <v>52</v>
      </c>
      <c r="B4" s="41" t="s">
        <v>53</v>
      </c>
      <c r="C4" s="42">
        <v>46329</v>
      </c>
      <c r="D4" s="43">
        <v>3</v>
      </c>
      <c r="E4" s="44">
        <v>147</v>
      </c>
      <c r="F4" s="44">
        <v>0</v>
      </c>
      <c r="G4" s="41" t="s">
        <v>26</v>
      </c>
    </row>
    <row r="5" spans="1:7" x14ac:dyDescent="0.25">
      <c r="A5" s="45" t="s">
        <v>54</v>
      </c>
      <c r="B5" s="46" t="s">
        <v>55</v>
      </c>
      <c r="C5" s="47">
        <v>46297</v>
      </c>
      <c r="D5" s="48">
        <v>3</v>
      </c>
      <c r="E5" s="49">
        <v>156</v>
      </c>
      <c r="F5" s="49">
        <v>0</v>
      </c>
      <c r="G5" s="46" t="s">
        <v>26</v>
      </c>
    </row>
    <row r="6" spans="1:7" x14ac:dyDescent="0.25">
      <c r="A6" s="40" t="s">
        <v>56</v>
      </c>
      <c r="B6" s="41" t="s">
        <v>57</v>
      </c>
      <c r="C6" s="42">
        <v>46317</v>
      </c>
      <c r="D6" s="43">
        <v>3</v>
      </c>
      <c r="E6" s="44">
        <v>165</v>
      </c>
      <c r="F6" s="44">
        <v>0</v>
      </c>
      <c r="G6" s="41" t="s">
        <v>26</v>
      </c>
    </row>
    <row r="7" spans="1:7" x14ac:dyDescent="0.25">
      <c r="A7" s="45" t="s">
        <v>58</v>
      </c>
      <c r="B7" s="46" t="s">
        <v>59</v>
      </c>
      <c r="C7" s="47">
        <v>46322</v>
      </c>
      <c r="D7" s="48">
        <v>3</v>
      </c>
      <c r="E7" s="49">
        <v>135</v>
      </c>
      <c r="F7" s="49">
        <v>0</v>
      </c>
      <c r="G7" s="46" t="s">
        <v>26</v>
      </c>
    </row>
    <row r="8" spans="1:7" x14ac:dyDescent="0.25">
      <c r="A8" s="40" t="s">
        <v>60</v>
      </c>
      <c r="B8" s="41" t="s">
        <v>61</v>
      </c>
      <c r="C8" s="42">
        <v>46320</v>
      </c>
      <c r="D8" s="43">
        <v>3</v>
      </c>
      <c r="E8" s="44">
        <v>657</v>
      </c>
      <c r="F8" s="44">
        <v>0</v>
      </c>
      <c r="G8" s="41" t="s">
        <v>26</v>
      </c>
    </row>
    <row r="9" spans="1:7" x14ac:dyDescent="0.25">
      <c r="A9" s="45" t="s">
        <v>62</v>
      </c>
      <c r="B9" s="46" t="s">
        <v>63</v>
      </c>
      <c r="C9" s="47">
        <v>46373</v>
      </c>
      <c r="D9" s="48">
        <v>1</v>
      </c>
      <c r="E9" s="49">
        <v>53.1</v>
      </c>
      <c r="F9" s="49">
        <v>0</v>
      </c>
      <c r="G9" s="46" t="s">
        <v>26</v>
      </c>
    </row>
    <row r="10" spans="1:7" x14ac:dyDescent="0.25">
      <c r="A10" s="40" t="s">
        <v>64</v>
      </c>
      <c r="B10" s="41" t="s">
        <v>65</v>
      </c>
      <c r="C10" s="42">
        <v>46306</v>
      </c>
      <c r="D10" s="43">
        <v>3</v>
      </c>
      <c r="E10" s="44">
        <v>237</v>
      </c>
      <c r="F10" s="44">
        <v>0</v>
      </c>
      <c r="G10" s="41" t="s">
        <v>26</v>
      </c>
    </row>
    <row r="11" spans="1:7" x14ac:dyDescent="0.25">
      <c r="A11" s="45" t="s">
        <v>66</v>
      </c>
      <c r="B11" s="46" t="s">
        <v>67</v>
      </c>
      <c r="C11" s="47">
        <v>46376</v>
      </c>
      <c r="D11" s="48">
        <v>3</v>
      </c>
      <c r="E11" s="49">
        <v>177</v>
      </c>
      <c r="F11" s="49">
        <v>0</v>
      </c>
      <c r="G11" s="50" t="s">
        <v>27</v>
      </c>
    </row>
    <row r="12" spans="1:7" x14ac:dyDescent="0.25">
      <c r="A12" s="40" t="s">
        <v>68</v>
      </c>
      <c r="B12" s="41" t="s">
        <v>69</v>
      </c>
      <c r="C12" s="42">
        <v>46368</v>
      </c>
      <c r="D12" s="43">
        <v>3</v>
      </c>
      <c r="E12" s="44">
        <v>2097</v>
      </c>
      <c r="F12" s="44">
        <v>0</v>
      </c>
      <c r="G12" s="41" t="s">
        <v>26</v>
      </c>
    </row>
    <row r="13" spans="1:7" x14ac:dyDescent="0.25">
      <c r="A13" s="45" t="s">
        <v>70</v>
      </c>
      <c r="B13" s="46" t="s">
        <v>71</v>
      </c>
      <c r="C13" s="47">
        <v>46299</v>
      </c>
      <c r="D13" s="48">
        <v>3</v>
      </c>
      <c r="E13" s="49">
        <v>147</v>
      </c>
      <c r="F13" s="49">
        <v>0</v>
      </c>
      <c r="G13" s="46" t="s">
        <v>26</v>
      </c>
    </row>
    <row r="14" spans="1:7" x14ac:dyDescent="0.25">
      <c r="A14" s="40" t="s">
        <v>72</v>
      </c>
      <c r="B14" s="41" t="s">
        <v>65</v>
      </c>
      <c r="C14" s="42">
        <v>46383</v>
      </c>
      <c r="D14" s="43">
        <v>2</v>
      </c>
      <c r="E14" s="44">
        <v>158</v>
      </c>
      <c r="F14" s="44">
        <v>0</v>
      </c>
      <c r="G14" s="41" t="s">
        <v>26</v>
      </c>
    </row>
    <row r="15" spans="1:7" x14ac:dyDescent="0.25">
      <c r="A15" s="45" t="s">
        <v>73</v>
      </c>
      <c r="B15" s="46" t="s">
        <v>74</v>
      </c>
      <c r="C15" s="47">
        <v>46370</v>
      </c>
      <c r="D15" s="48">
        <v>2</v>
      </c>
      <c r="E15" s="49">
        <v>918</v>
      </c>
      <c r="F15" s="49">
        <v>0</v>
      </c>
      <c r="G15" s="46" t="s">
        <v>26</v>
      </c>
    </row>
    <row r="16" spans="1:7" x14ac:dyDescent="0.25">
      <c r="A16" s="40" t="s">
        <v>75</v>
      </c>
      <c r="B16" s="41" t="s">
        <v>76</v>
      </c>
      <c r="C16" s="42">
        <v>46351</v>
      </c>
      <c r="D16" s="43">
        <v>2</v>
      </c>
      <c r="E16" s="44">
        <v>78</v>
      </c>
      <c r="F16" s="44">
        <v>0</v>
      </c>
      <c r="G16" s="41" t="s">
        <v>26</v>
      </c>
    </row>
    <row r="17" spans="1:7" x14ac:dyDescent="0.25">
      <c r="A17" s="45" t="s">
        <v>77</v>
      </c>
      <c r="B17" s="46" t="s">
        <v>78</v>
      </c>
      <c r="C17" s="47">
        <v>46369</v>
      </c>
      <c r="D17" s="48">
        <v>2</v>
      </c>
      <c r="E17" s="49">
        <v>578</v>
      </c>
      <c r="F17" s="49">
        <v>0</v>
      </c>
      <c r="G17" s="46" t="s">
        <v>26</v>
      </c>
    </row>
    <row r="18" spans="1:7" x14ac:dyDescent="0.25">
      <c r="A18" s="40" t="s">
        <v>79</v>
      </c>
      <c r="B18" s="41" t="s">
        <v>59</v>
      </c>
      <c r="C18" s="42">
        <v>46322</v>
      </c>
      <c r="D18" s="43">
        <v>3</v>
      </c>
      <c r="E18" s="44">
        <v>135</v>
      </c>
      <c r="F18" s="44">
        <v>0</v>
      </c>
      <c r="G18" s="41" t="s">
        <v>26</v>
      </c>
    </row>
    <row r="19" spans="1:7" x14ac:dyDescent="0.25">
      <c r="A19" s="45" t="s">
        <v>80</v>
      </c>
      <c r="B19" s="46" t="s">
        <v>81</v>
      </c>
      <c r="C19" s="47">
        <v>46375</v>
      </c>
      <c r="D19" s="48">
        <v>3</v>
      </c>
      <c r="E19" s="49">
        <v>555</v>
      </c>
      <c r="F19" s="49">
        <v>0</v>
      </c>
      <c r="G19" s="46" t="s">
        <v>26</v>
      </c>
    </row>
    <row r="20" spans="1:7" x14ac:dyDescent="0.25">
      <c r="A20" s="40" t="s">
        <v>82</v>
      </c>
      <c r="B20" s="41" t="s">
        <v>74</v>
      </c>
      <c r="C20" s="42">
        <v>46370</v>
      </c>
      <c r="D20" s="43">
        <v>3</v>
      </c>
      <c r="E20" s="44">
        <v>1377</v>
      </c>
      <c r="F20" s="44">
        <v>0</v>
      </c>
      <c r="G20" s="41" t="s">
        <v>26</v>
      </c>
    </row>
    <row r="21" spans="1:7" x14ac:dyDescent="0.25">
      <c r="A21" s="45" t="s">
        <v>83</v>
      </c>
      <c r="B21" s="46" t="s">
        <v>84</v>
      </c>
      <c r="C21" s="47">
        <v>46302</v>
      </c>
      <c r="D21" s="48">
        <v>1</v>
      </c>
      <c r="E21" s="49">
        <v>269</v>
      </c>
      <c r="F21" s="49">
        <v>0</v>
      </c>
      <c r="G21" s="46" t="s">
        <v>26</v>
      </c>
    </row>
    <row r="22" spans="1:7" x14ac:dyDescent="0.25">
      <c r="A22" s="40" t="s">
        <v>85</v>
      </c>
      <c r="B22" s="41" t="s">
        <v>81</v>
      </c>
      <c r="C22" s="42">
        <v>46297</v>
      </c>
      <c r="D22" s="43">
        <v>1</v>
      </c>
      <c r="E22" s="44">
        <v>185</v>
      </c>
      <c r="F22" s="44">
        <v>0</v>
      </c>
      <c r="G22" s="41" t="s">
        <v>26</v>
      </c>
    </row>
    <row r="23" spans="1:7" x14ac:dyDescent="0.25">
      <c r="A23" s="45" t="s">
        <v>86</v>
      </c>
      <c r="B23" s="46" t="s">
        <v>87</v>
      </c>
      <c r="C23" s="47">
        <v>46340</v>
      </c>
      <c r="D23" s="48">
        <v>1</v>
      </c>
      <c r="E23" s="49">
        <v>65</v>
      </c>
      <c r="F23" s="49">
        <v>0</v>
      </c>
      <c r="G23" s="46" t="s">
        <v>26</v>
      </c>
    </row>
    <row r="24" spans="1:7" x14ac:dyDescent="0.25">
      <c r="A24" s="40" t="s">
        <v>88</v>
      </c>
      <c r="B24" s="41" t="s">
        <v>89</v>
      </c>
      <c r="C24" s="42">
        <v>46355</v>
      </c>
      <c r="D24" s="43">
        <v>4</v>
      </c>
      <c r="E24" s="44">
        <v>454.08</v>
      </c>
      <c r="F24" s="44">
        <v>0</v>
      </c>
      <c r="G24" s="41" t="s">
        <v>26</v>
      </c>
    </row>
    <row r="25" spans="1:7" x14ac:dyDescent="0.25">
      <c r="A25" s="45" t="s">
        <v>90</v>
      </c>
      <c r="B25" s="46" t="s">
        <v>50</v>
      </c>
      <c r="C25" s="47">
        <v>46322</v>
      </c>
      <c r="D25" s="48">
        <v>3</v>
      </c>
      <c r="E25" s="49">
        <v>108</v>
      </c>
      <c r="F25" s="49">
        <v>0</v>
      </c>
      <c r="G25" s="46" t="s">
        <v>26</v>
      </c>
    </row>
    <row r="26" spans="1:7" x14ac:dyDescent="0.25">
      <c r="A26" s="40" t="s">
        <v>91</v>
      </c>
      <c r="B26" s="41" t="s">
        <v>74</v>
      </c>
      <c r="C26" s="42">
        <v>46348</v>
      </c>
      <c r="D26" s="43">
        <v>3</v>
      </c>
      <c r="E26" s="44">
        <v>1377</v>
      </c>
      <c r="F26" s="44">
        <v>1377</v>
      </c>
      <c r="G26" s="51" t="s">
        <v>27</v>
      </c>
    </row>
    <row r="27" spans="1:7" x14ac:dyDescent="0.25">
      <c r="A27" s="45" t="s">
        <v>92</v>
      </c>
      <c r="B27" s="46" t="s">
        <v>59</v>
      </c>
      <c r="C27" s="47">
        <v>46322</v>
      </c>
      <c r="D27" s="48">
        <v>1</v>
      </c>
      <c r="E27" s="49">
        <v>45</v>
      </c>
      <c r="F27" s="49">
        <v>0</v>
      </c>
      <c r="G27" s="46" t="s">
        <v>26</v>
      </c>
    </row>
    <row r="28" spans="1:7" x14ac:dyDescent="0.25">
      <c r="A28" s="40" t="s">
        <v>93</v>
      </c>
      <c r="B28" s="41" t="s">
        <v>94</v>
      </c>
      <c r="C28" s="42">
        <v>46328</v>
      </c>
      <c r="D28" s="43">
        <v>2</v>
      </c>
      <c r="E28" s="44">
        <v>658</v>
      </c>
      <c r="F28" s="44">
        <v>0</v>
      </c>
      <c r="G28" s="41" t="s">
        <v>26</v>
      </c>
    </row>
    <row r="29" spans="1:7" x14ac:dyDescent="0.25">
      <c r="A29" s="45" t="s">
        <v>95</v>
      </c>
      <c r="B29" s="46" t="s">
        <v>94</v>
      </c>
      <c r="C29" s="47">
        <v>46360</v>
      </c>
      <c r="D29" s="48">
        <v>1</v>
      </c>
      <c r="E29" s="49">
        <v>292.81</v>
      </c>
      <c r="F29" s="49">
        <v>0</v>
      </c>
      <c r="G29" s="46" t="s">
        <v>26</v>
      </c>
    </row>
    <row r="30" spans="1:7" x14ac:dyDescent="0.25">
      <c r="A30" s="40" t="s">
        <v>96</v>
      </c>
      <c r="B30" s="41" t="s">
        <v>69</v>
      </c>
      <c r="C30" s="42">
        <v>46368</v>
      </c>
      <c r="D30" s="43">
        <v>1</v>
      </c>
      <c r="E30" s="44">
        <v>699</v>
      </c>
      <c r="F30" s="44">
        <v>0</v>
      </c>
      <c r="G30" s="41" t="s">
        <v>26</v>
      </c>
    </row>
    <row r="31" spans="1:7" x14ac:dyDescent="0.25">
      <c r="A31" s="45" t="s">
        <v>97</v>
      </c>
      <c r="B31" s="46" t="s">
        <v>98</v>
      </c>
      <c r="C31" s="47">
        <v>46329</v>
      </c>
      <c r="D31" s="48">
        <v>4</v>
      </c>
      <c r="E31" s="49">
        <v>556</v>
      </c>
      <c r="F31" s="49">
        <v>0</v>
      </c>
      <c r="G31" s="46" t="s">
        <v>26</v>
      </c>
    </row>
    <row r="32" spans="1:7" x14ac:dyDescent="0.25">
      <c r="A32" s="40" t="s">
        <v>99</v>
      </c>
      <c r="B32" s="41" t="s">
        <v>69</v>
      </c>
      <c r="C32" s="42">
        <v>46368</v>
      </c>
      <c r="D32" s="43">
        <v>1</v>
      </c>
      <c r="E32" s="44">
        <v>699</v>
      </c>
      <c r="F32" s="44">
        <v>0</v>
      </c>
      <c r="G32" s="41" t="s">
        <v>26</v>
      </c>
    </row>
    <row r="33" spans="1:7" x14ac:dyDescent="0.25">
      <c r="A33" s="45" t="s">
        <v>100</v>
      </c>
      <c r="B33" s="46" t="s">
        <v>98</v>
      </c>
      <c r="C33" s="47">
        <v>46356</v>
      </c>
      <c r="D33" s="48">
        <v>2</v>
      </c>
      <c r="E33" s="49">
        <v>278</v>
      </c>
      <c r="F33" s="49">
        <v>0</v>
      </c>
      <c r="G33" s="46" t="s">
        <v>26</v>
      </c>
    </row>
    <row r="34" spans="1:7" x14ac:dyDescent="0.25">
      <c r="A34" s="40" t="s">
        <v>101</v>
      </c>
      <c r="B34" s="41" t="s">
        <v>102</v>
      </c>
      <c r="C34" s="42">
        <v>46377</v>
      </c>
      <c r="D34" s="43">
        <v>3</v>
      </c>
      <c r="E34" s="44">
        <v>357</v>
      </c>
      <c r="F34" s="44">
        <v>0</v>
      </c>
      <c r="G34" s="41" t="s">
        <v>26</v>
      </c>
    </row>
    <row r="35" spans="1:7" x14ac:dyDescent="0.25">
      <c r="A35" s="45" t="s">
        <v>103</v>
      </c>
      <c r="B35" s="46" t="s">
        <v>104</v>
      </c>
      <c r="C35" s="47">
        <v>46372</v>
      </c>
      <c r="D35" s="48">
        <v>3</v>
      </c>
      <c r="E35" s="49">
        <v>195</v>
      </c>
      <c r="F35" s="49">
        <v>0</v>
      </c>
      <c r="G35" s="46" t="s">
        <v>26</v>
      </c>
    </row>
    <row r="36" spans="1:7" x14ac:dyDescent="0.25">
      <c r="A36" s="40" t="s">
        <v>105</v>
      </c>
      <c r="B36" s="41" t="s">
        <v>106</v>
      </c>
      <c r="C36" s="42">
        <v>46290</v>
      </c>
      <c r="D36" s="43">
        <v>4</v>
      </c>
      <c r="E36" s="44">
        <v>2316</v>
      </c>
      <c r="F36" s="44">
        <v>0</v>
      </c>
      <c r="G36" s="41" t="s">
        <v>26</v>
      </c>
    </row>
    <row r="37" spans="1:7" x14ac:dyDescent="0.25">
      <c r="A37" s="45" t="s">
        <v>107</v>
      </c>
      <c r="B37" s="46" t="s">
        <v>63</v>
      </c>
      <c r="C37" s="47">
        <v>46351</v>
      </c>
      <c r="D37" s="48">
        <v>5</v>
      </c>
      <c r="E37" s="49">
        <v>295</v>
      </c>
      <c r="F37" s="49">
        <v>0</v>
      </c>
      <c r="G37" s="46" t="s">
        <v>26</v>
      </c>
    </row>
    <row r="38" spans="1:7" x14ac:dyDescent="0.25">
      <c r="A38" s="40" t="s">
        <v>108</v>
      </c>
      <c r="B38" s="41" t="s">
        <v>87</v>
      </c>
      <c r="C38" s="42">
        <v>46289</v>
      </c>
      <c r="D38" s="43">
        <v>1</v>
      </c>
      <c r="E38" s="44">
        <v>65</v>
      </c>
      <c r="F38" s="44">
        <v>0</v>
      </c>
      <c r="G38" s="41" t="s">
        <v>26</v>
      </c>
    </row>
    <row r="39" spans="1:7" x14ac:dyDescent="0.25">
      <c r="A39" s="45" t="s">
        <v>109</v>
      </c>
      <c r="B39" s="46" t="s">
        <v>98</v>
      </c>
      <c r="C39" s="47">
        <v>46329</v>
      </c>
      <c r="D39" s="48">
        <v>2</v>
      </c>
      <c r="E39" s="49">
        <v>278</v>
      </c>
      <c r="F39" s="49">
        <v>0</v>
      </c>
      <c r="G39" s="46" t="s">
        <v>26</v>
      </c>
    </row>
    <row r="40" spans="1:7" x14ac:dyDescent="0.25">
      <c r="A40" s="40" t="s">
        <v>110</v>
      </c>
      <c r="B40" s="41" t="s">
        <v>81</v>
      </c>
      <c r="C40" s="42">
        <v>46347</v>
      </c>
      <c r="D40" s="43">
        <v>4</v>
      </c>
      <c r="E40" s="44">
        <v>740</v>
      </c>
      <c r="F40" s="44">
        <v>0</v>
      </c>
      <c r="G40" s="41" t="s">
        <v>26</v>
      </c>
    </row>
    <row r="41" spans="1:7" x14ac:dyDescent="0.25">
      <c r="A41" s="45" t="s">
        <v>111</v>
      </c>
      <c r="B41" s="46" t="s">
        <v>61</v>
      </c>
      <c r="C41" s="47">
        <v>46367</v>
      </c>
      <c r="D41" s="48">
        <v>4</v>
      </c>
      <c r="E41" s="49">
        <v>876</v>
      </c>
      <c r="F41" s="49">
        <v>0</v>
      </c>
      <c r="G41" s="46" t="s">
        <v>26</v>
      </c>
    </row>
    <row r="42" spans="1:7" x14ac:dyDescent="0.25">
      <c r="A42" s="40" t="s">
        <v>112</v>
      </c>
      <c r="B42" s="41" t="s">
        <v>98</v>
      </c>
      <c r="C42" s="42">
        <v>46380</v>
      </c>
      <c r="D42" s="43">
        <v>3</v>
      </c>
      <c r="E42" s="44">
        <v>417</v>
      </c>
      <c r="F42" s="44">
        <v>0</v>
      </c>
      <c r="G42" s="41" t="s">
        <v>26</v>
      </c>
    </row>
    <row r="43" spans="1:7" x14ac:dyDescent="0.25">
      <c r="A43" s="45" t="s">
        <v>113</v>
      </c>
      <c r="B43" s="46" t="s">
        <v>74</v>
      </c>
      <c r="C43" s="47">
        <v>46316</v>
      </c>
      <c r="D43" s="48">
        <v>1</v>
      </c>
      <c r="E43" s="49">
        <v>459</v>
      </c>
      <c r="F43" s="49">
        <v>0</v>
      </c>
      <c r="G43" s="46" t="s">
        <v>26</v>
      </c>
    </row>
    <row r="44" spans="1:7" x14ac:dyDescent="0.25">
      <c r="A44" s="40" t="s">
        <v>114</v>
      </c>
      <c r="B44" s="41" t="s">
        <v>71</v>
      </c>
      <c r="C44" s="42">
        <v>46378</v>
      </c>
      <c r="D44" s="43">
        <v>3</v>
      </c>
      <c r="E44" s="44">
        <v>124.95</v>
      </c>
      <c r="F44" s="44">
        <v>0</v>
      </c>
      <c r="G44" s="41" t="s">
        <v>26</v>
      </c>
    </row>
    <row r="45" spans="1:7" x14ac:dyDescent="0.25">
      <c r="A45" s="45" t="s">
        <v>115</v>
      </c>
      <c r="B45" s="46" t="s">
        <v>76</v>
      </c>
      <c r="C45" s="47">
        <v>46351</v>
      </c>
      <c r="D45" s="48">
        <v>3</v>
      </c>
      <c r="E45" s="49">
        <v>117</v>
      </c>
      <c r="F45" s="49">
        <v>0</v>
      </c>
      <c r="G45" s="46" t="s">
        <v>26</v>
      </c>
    </row>
    <row r="46" spans="1:7" x14ac:dyDescent="0.25">
      <c r="A46" s="40" t="s">
        <v>116</v>
      </c>
      <c r="B46" s="41" t="s">
        <v>63</v>
      </c>
      <c r="C46" s="42">
        <v>46322</v>
      </c>
      <c r="D46" s="43">
        <v>3</v>
      </c>
      <c r="E46" s="44">
        <v>177</v>
      </c>
      <c r="F46" s="44">
        <v>0</v>
      </c>
      <c r="G46" s="41" t="s">
        <v>26</v>
      </c>
    </row>
    <row r="47" spans="1:7" x14ac:dyDescent="0.25">
      <c r="A47" s="45" t="s">
        <v>117</v>
      </c>
      <c r="B47" s="46" t="s">
        <v>67</v>
      </c>
      <c r="C47" s="47">
        <v>46350</v>
      </c>
      <c r="D47" s="48">
        <v>3</v>
      </c>
      <c r="E47" s="49">
        <v>177</v>
      </c>
      <c r="F47" s="49">
        <v>0</v>
      </c>
      <c r="G47" s="46" t="s">
        <v>26</v>
      </c>
    </row>
    <row r="48" spans="1:7" x14ac:dyDescent="0.25">
      <c r="A48" s="40" t="s">
        <v>118</v>
      </c>
      <c r="B48" s="41" t="s">
        <v>61</v>
      </c>
      <c r="C48" s="42">
        <v>46341</v>
      </c>
      <c r="D48" s="43">
        <v>3</v>
      </c>
      <c r="E48" s="44">
        <v>657</v>
      </c>
      <c r="F48" s="44">
        <v>0</v>
      </c>
      <c r="G48" s="41" t="s">
        <v>26</v>
      </c>
    </row>
    <row r="49" spans="1:7" x14ac:dyDescent="0.25">
      <c r="A49" s="45" t="s">
        <v>119</v>
      </c>
      <c r="B49" s="46" t="s">
        <v>78</v>
      </c>
      <c r="C49" s="47">
        <v>46314</v>
      </c>
      <c r="D49" s="48">
        <v>1</v>
      </c>
      <c r="E49" s="49">
        <v>289</v>
      </c>
      <c r="F49" s="49">
        <v>0</v>
      </c>
      <c r="G49" s="46" t="s">
        <v>26</v>
      </c>
    </row>
    <row r="50" spans="1:7" x14ac:dyDescent="0.25">
      <c r="A50" s="40" t="s">
        <v>120</v>
      </c>
      <c r="B50" s="41" t="s">
        <v>106</v>
      </c>
      <c r="C50" s="42">
        <v>46342</v>
      </c>
      <c r="D50" s="43">
        <v>3</v>
      </c>
      <c r="E50" s="44">
        <v>1737</v>
      </c>
      <c r="F50" s="44">
        <v>0</v>
      </c>
      <c r="G50" s="41" t="s">
        <v>26</v>
      </c>
    </row>
    <row r="51" spans="1:7" x14ac:dyDescent="0.25">
      <c r="A51" s="45" t="s">
        <v>121</v>
      </c>
      <c r="B51" s="46" t="s">
        <v>122</v>
      </c>
      <c r="C51" s="47">
        <v>46319</v>
      </c>
      <c r="D51" s="48">
        <v>2</v>
      </c>
      <c r="E51" s="49">
        <v>1098</v>
      </c>
      <c r="F51" s="49">
        <v>0</v>
      </c>
      <c r="G51" s="46" t="s">
        <v>26</v>
      </c>
    </row>
    <row r="52" spans="1:7" x14ac:dyDescent="0.25">
      <c r="A52" s="40" t="s">
        <v>123</v>
      </c>
      <c r="B52" s="41" t="s">
        <v>106</v>
      </c>
      <c r="C52" s="42">
        <v>46323</v>
      </c>
      <c r="D52" s="43">
        <v>2</v>
      </c>
      <c r="E52" s="44">
        <v>1158</v>
      </c>
      <c r="F52" s="44">
        <v>0</v>
      </c>
      <c r="G52" s="41" t="s">
        <v>26</v>
      </c>
    </row>
    <row r="53" spans="1:7" x14ac:dyDescent="0.25">
      <c r="A53" s="45" t="s">
        <v>124</v>
      </c>
      <c r="B53" s="46" t="s">
        <v>98</v>
      </c>
      <c r="C53" s="47">
        <v>46380</v>
      </c>
      <c r="D53" s="48">
        <v>1</v>
      </c>
      <c r="E53" s="49">
        <v>139</v>
      </c>
      <c r="F53" s="49">
        <v>0</v>
      </c>
      <c r="G53" s="46" t="s">
        <v>26</v>
      </c>
    </row>
    <row r="54" spans="1:7" x14ac:dyDescent="0.25">
      <c r="A54" s="40" t="s">
        <v>125</v>
      </c>
      <c r="B54" s="41" t="s">
        <v>106</v>
      </c>
      <c r="C54" s="42">
        <v>46290</v>
      </c>
      <c r="D54" s="43">
        <v>1</v>
      </c>
      <c r="E54" s="44">
        <v>579</v>
      </c>
      <c r="F54" s="44">
        <v>0</v>
      </c>
      <c r="G54" s="41" t="s">
        <v>26</v>
      </c>
    </row>
    <row r="55" spans="1:7" x14ac:dyDescent="0.25">
      <c r="A55" s="45" t="s">
        <v>126</v>
      </c>
      <c r="B55" s="46" t="s">
        <v>122</v>
      </c>
      <c r="C55" s="47">
        <v>46319</v>
      </c>
      <c r="D55" s="48">
        <v>3</v>
      </c>
      <c r="E55" s="49">
        <v>1647</v>
      </c>
      <c r="F55" s="49">
        <v>0</v>
      </c>
      <c r="G55" s="46" t="s">
        <v>26</v>
      </c>
    </row>
    <row r="56" spans="1:7" x14ac:dyDescent="0.25">
      <c r="A56" s="40" t="s">
        <v>127</v>
      </c>
      <c r="B56" s="41" t="s">
        <v>128</v>
      </c>
      <c r="C56" s="42">
        <v>46288</v>
      </c>
      <c r="D56" s="43">
        <v>3</v>
      </c>
      <c r="E56" s="44">
        <v>105</v>
      </c>
      <c r="F56" s="44">
        <v>0</v>
      </c>
      <c r="G56" s="41" t="s">
        <v>26</v>
      </c>
    </row>
    <row r="57" spans="1:7" x14ac:dyDescent="0.25">
      <c r="A57" s="45" t="s">
        <v>129</v>
      </c>
      <c r="B57" s="46" t="s">
        <v>98</v>
      </c>
      <c r="C57" s="47">
        <v>46380</v>
      </c>
      <c r="D57" s="48">
        <v>2</v>
      </c>
      <c r="E57" s="49">
        <v>278</v>
      </c>
      <c r="F57" s="49">
        <v>0</v>
      </c>
      <c r="G57" s="46" t="s">
        <v>26</v>
      </c>
    </row>
    <row r="58" spans="1:7" x14ac:dyDescent="0.25">
      <c r="A58" s="40" t="s">
        <v>130</v>
      </c>
      <c r="B58" s="41" t="s">
        <v>63</v>
      </c>
      <c r="C58" s="42">
        <v>46322</v>
      </c>
      <c r="D58" s="43">
        <v>4</v>
      </c>
      <c r="E58" s="44">
        <v>236</v>
      </c>
      <c r="F58" s="44">
        <v>0</v>
      </c>
      <c r="G58" s="41" t="s">
        <v>26</v>
      </c>
    </row>
    <row r="59" spans="1:7" x14ac:dyDescent="0.25">
      <c r="A59" s="45" t="s">
        <v>131</v>
      </c>
      <c r="B59" s="46" t="s">
        <v>132</v>
      </c>
      <c r="C59" s="47">
        <v>46300</v>
      </c>
      <c r="D59" s="48">
        <v>2</v>
      </c>
      <c r="E59" s="49">
        <v>198</v>
      </c>
      <c r="F59" s="49">
        <v>0</v>
      </c>
      <c r="G59" s="46" t="s">
        <v>26</v>
      </c>
    </row>
    <row r="60" spans="1:7" x14ac:dyDescent="0.25">
      <c r="A60" s="40" t="s">
        <v>133</v>
      </c>
      <c r="B60" s="41" t="s">
        <v>59</v>
      </c>
      <c r="C60" s="42">
        <v>46290</v>
      </c>
      <c r="D60" s="43">
        <v>2</v>
      </c>
      <c r="E60" s="44">
        <v>90</v>
      </c>
      <c r="F60" s="44">
        <v>0</v>
      </c>
      <c r="G60" s="41" t="s">
        <v>26</v>
      </c>
    </row>
    <row r="61" spans="1:7" x14ac:dyDescent="0.25">
      <c r="A61" s="45" t="s">
        <v>134</v>
      </c>
      <c r="B61" s="46" t="s">
        <v>69</v>
      </c>
      <c r="C61" s="47">
        <v>46322</v>
      </c>
      <c r="D61" s="48">
        <v>1</v>
      </c>
      <c r="E61" s="49">
        <v>699</v>
      </c>
      <c r="F61" s="49">
        <v>0</v>
      </c>
      <c r="G61" s="46" t="s">
        <v>26</v>
      </c>
    </row>
    <row r="62" spans="1:7" x14ac:dyDescent="0.25">
      <c r="A62" s="40" t="s">
        <v>135</v>
      </c>
      <c r="B62" s="41" t="s">
        <v>98</v>
      </c>
      <c r="C62" s="42">
        <v>46329</v>
      </c>
      <c r="D62" s="43">
        <v>3</v>
      </c>
      <c r="E62" s="44">
        <v>417</v>
      </c>
      <c r="F62" s="44">
        <v>0</v>
      </c>
      <c r="G62" s="41" t="s">
        <v>26</v>
      </c>
    </row>
    <row r="63" spans="1:7" x14ac:dyDescent="0.25">
      <c r="A63" s="45" t="s">
        <v>136</v>
      </c>
      <c r="B63" s="46" t="s">
        <v>94</v>
      </c>
      <c r="C63" s="47">
        <v>46328</v>
      </c>
      <c r="D63" s="48">
        <v>2</v>
      </c>
      <c r="E63" s="49">
        <v>658</v>
      </c>
      <c r="F63" s="49">
        <v>0</v>
      </c>
      <c r="G63" s="46" t="s">
        <v>26</v>
      </c>
    </row>
    <row r="64" spans="1:7" x14ac:dyDescent="0.25">
      <c r="A64" s="40" t="s">
        <v>137</v>
      </c>
      <c r="B64" s="41" t="s">
        <v>87</v>
      </c>
      <c r="C64" s="42">
        <v>46289</v>
      </c>
      <c r="D64" s="43">
        <v>1</v>
      </c>
      <c r="E64" s="44">
        <v>65</v>
      </c>
      <c r="F64" s="44">
        <v>0</v>
      </c>
      <c r="G64" s="41" t="s">
        <v>26</v>
      </c>
    </row>
    <row r="65" spans="1:7" x14ac:dyDescent="0.25">
      <c r="A65" s="45" t="s">
        <v>138</v>
      </c>
      <c r="B65" s="46" t="s">
        <v>84</v>
      </c>
      <c r="C65" s="47">
        <v>46330</v>
      </c>
      <c r="D65" s="48">
        <v>1</v>
      </c>
      <c r="E65" s="49">
        <v>269</v>
      </c>
      <c r="F65" s="49">
        <v>0</v>
      </c>
      <c r="G65" s="46" t="s">
        <v>26</v>
      </c>
    </row>
    <row r="66" spans="1:7" x14ac:dyDescent="0.25">
      <c r="A66" s="40" t="s">
        <v>139</v>
      </c>
      <c r="B66" s="41" t="s">
        <v>94</v>
      </c>
      <c r="C66" s="42">
        <v>46328</v>
      </c>
      <c r="D66" s="43">
        <v>2</v>
      </c>
      <c r="E66" s="44">
        <v>658</v>
      </c>
      <c r="F66" s="44">
        <v>0</v>
      </c>
      <c r="G66" s="41" t="s">
        <v>26</v>
      </c>
    </row>
    <row r="67" spans="1:7" x14ac:dyDescent="0.25">
      <c r="A67" s="45" t="s">
        <v>140</v>
      </c>
      <c r="B67" s="46" t="s">
        <v>98</v>
      </c>
      <c r="C67" s="47">
        <v>46329</v>
      </c>
      <c r="D67" s="48">
        <v>2</v>
      </c>
      <c r="E67" s="49">
        <v>278</v>
      </c>
      <c r="F67" s="49">
        <v>0</v>
      </c>
      <c r="G67" s="46" t="s">
        <v>26</v>
      </c>
    </row>
    <row r="68" spans="1:7" x14ac:dyDescent="0.25">
      <c r="A68" s="40" t="s">
        <v>141</v>
      </c>
      <c r="B68" s="41" t="s">
        <v>142</v>
      </c>
      <c r="C68" s="42">
        <v>46374</v>
      </c>
      <c r="D68" s="43">
        <v>3</v>
      </c>
      <c r="E68" s="44">
        <v>117.45</v>
      </c>
      <c r="F68" s="44">
        <v>0</v>
      </c>
      <c r="G68" s="41" t="s">
        <v>26</v>
      </c>
    </row>
    <row r="69" spans="1:7" x14ac:dyDescent="0.25">
      <c r="A69" s="45" t="s">
        <v>143</v>
      </c>
      <c r="B69" s="46" t="s">
        <v>53</v>
      </c>
      <c r="C69" s="47">
        <v>46348</v>
      </c>
      <c r="D69" s="48">
        <v>1</v>
      </c>
      <c r="E69" s="49">
        <v>49</v>
      </c>
      <c r="F69" s="49">
        <v>49</v>
      </c>
      <c r="G69" s="50" t="s">
        <v>27</v>
      </c>
    </row>
    <row r="70" spans="1:7" x14ac:dyDescent="0.25">
      <c r="A70" s="40" t="s">
        <v>144</v>
      </c>
      <c r="B70" s="41" t="s">
        <v>128</v>
      </c>
      <c r="C70" s="42">
        <v>46311</v>
      </c>
      <c r="D70" s="43">
        <v>1</v>
      </c>
      <c r="E70" s="44">
        <v>35</v>
      </c>
      <c r="F70" s="44">
        <v>35</v>
      </c>
      <c r="G70" s="51" t="s">
        <v>27</v>
      </c>
    </row>
    <row r="71" spans="1:7" x14ac:dyDescent="0.25">
      <c r="A71" s="45" t="s">
        <v>145</v>
      </c>
      <c r="B71" s="46" t="s">
        <v>128</v>
      </c>
      <c r="C71" s="47">
        <v>46311</v>
      </c>
      <c r="D71" s="48">
        <v>1</v>
      </c>
      <c r="E71" s="49">
        <v>35</v>
      </c>
      <c r="F71" s="49">
        <v>35</v>
      </c>
      <c r="G71" s="50" t="s">
        <v>27</v>
      </c>
    </row>
    <row r="72" spans="1:7" x14ac:dyDescent="0.25">
      <c r="A72" s="40" t="s">
        <v>146</v>
      </c>
      <c r="B72" s="41" t="s">
        <v>128</v>
      </c>
      <c r="C72" s="42">
        <v>46317</v>
      </c>
      <c r="D72" s="43">
        <v>1</v>
      </c>
      <c r="E72" s="44">
        <v>35</v>
      </c>
      <c r="F72" s="44">
        <v>35</v>
      </c>
      <c r="G72" s="51" t="s">
        <v>27</v>
      </c>
    </row>
    <row r="73" spans="1:7" x14ac:dyDescent="0.25">
      <c r="A73" s="29" t="s">
        <v>28</v>
      </c>
      <c r="B73" s="31"/>
      <c r="C73" s="31"/>
      <c r="D73" s="38">
        <f>SUBTOTAL(109,D2:D72)</f>
        <v>164</v>
      </c>
      <c r="E73" s="52">
        <f>SUBTOTAL(109,E2:E72)</f>
        <v>31720.39</v>
      </c>
      <c r="F73" s="52">
        <f>SUBTOTAL(109,F2:F72)</f>
        <v>1531</v>
      </c>
      <c r="G73" s="31"/>
    </row>
  </sheetData>
  <autoFilter ref="A1:G72"/>
  <hyperlinks>
    <hyperlink ref="A2" r:id="rId1" tooltip="Open in back office"/>
    <hyperlink ref="A3" r:id="rId2" tooltip="Open in back office"/>
    <hyperlink ref="A4" r:id="rId3" tooltip="Open in back office"/>
    <hyperlink ref="A5" r:id="rId4" tooltip="Open in back office"/>
    <hyperlink ref="A6" r:id="rId5" tooltip="Open in back office"/>
    <hyperlink ref="A7" r:id="rId6" tooltip="Open in back office"/>
    <hyperlink ref="A8" r:id="rId7" tooltip="Open in back office"/>
    <hyperlink ref="A9" r:id="rId8" tooltip="Open in back office"/>
    <hyperlink ref="A10" r:id="rId9" tooltip="Open in back office"/>
    <hyperlink ref="A11" r:id="rId10" tooltip="Open in back office"/>
    <hyperlink ref="A12" r:id="rId11" tooltip="Open in back office"/>
    <hyperlink ref="A13" r:id="rId12" tooltip="Open in back office"/>
    <hyperlink ref="A14" r:id="rId13" tooltip="Open in back office"/>
    <hyperlink ref="A15" r:id="rId14" tooltip="Open in back office"/>
    <hyperlink ref="A16" r:id="rId15" tooltip="Open in back office"/>
    <hyperlink ref="A17" r:id="rId16" tooltip="Open in back office"/>
    <hyperlink ref="A18" r:id="rId17" tooltip="Open in back office"/>
    <hyperlink ref="A19" r:id="rId18" tooltip="Open in back office"/>
    <hyperlink ref="A20" r:id="rId19" tooltip="Open in back office"/>
    <hyperlink ref="A21" r:id="rId20" tooltip="Open in back office"/>
    <hyperlink ref="A22" r:id="rId21" tooltip="Open in back office"/>
    <hyperlink ref="A23" r:id="rId22" tooltip="Open in back office"/>
    <hyperlink ref="A24" r:id="rId23" tooltip="Open in back office"/>
    <hyperlink ref="A25" r:id="rId24" tooltip="Open in back office"/>
    <hyperlink ref="A26" r:id="rId25" tooltip="Open in back office"/>
    <hyperlink ref="A27" r:id="rId26" tooltip="Open in back office"/>
    <hyperlink ref="A28" r:id="rId27" tooltip="Open in back office"/>
    <hyperlink ref="A29" r:id="rId28" tooltip="Open in back office"/>
    <hyperlink ref="A30" r:id="rId29" tooltip="Open in back office"/>
    <hyperlink ref="A31" r:id="rId30" tooltip="Open in back office"/>
    <hyperlink ref="A32" r:id="rId31" tooltip="Open in back office"/>
    <hyperlink ref="A33" r:id="rId32" tooltip="Open in back office"/>
    <hyperlink ref="A34" r:id="rId33" tooltip="Open in back office"/>
    <hyperlink ref="A35" r:id="rId34" tooltip="Open in back office"/>
    <hyperlink ref="A36" r:id="rId35" tooltip="Open in back office"/>
    <hyperlink ref="A37" r:id="rId36" tooltip="Open in back office"/>
    <hyperlink ref="A38" r:id="rId37" tooltip="Open in back office"/>
    <hyperlink ref="A39" r:id="rId38" tooltip="Open in back office"/>
    <hyperlink ref="A40" r:id="rId39" tooltip="Open in back office"/>
    <hyperlink ref="A41" r:id="rId40" tooltip="Open in back office"/>
    <hyperlink ref="A42" r:id="rId41" tooltip="Open in back office"/>
    <hyperlink ref="A43" r:id="rId42" tooltip="Open in back office"/>
    <hyperlink ref="A44" r:id="rId43" tooltip="Open in back office"/>
    <hyperlink ref="A45" r:id="rId44" tooltip="Open in back office"/>
    <hyperlink ref="A46" r:id="rId45" tooltip="Open in back office"/>
    <hyperlink ref="A47" r:id="rId46" tooltip="Open in back office"/>
    <hyperlink ref="A48" r:id="rId47" tooltip="Open in back office"/>
    <hyperlink ref="A49" r:id="rId48" tooltip="Open in back office"/>
    <hyperlink ref="A50" r:id="rId49" tooltip="Open in back office"/>
    <hyperlink ref="A51" r:id="rId50" tooltip="Open in back office"/>
    <hyperlink ref="A52" r:id="rId51" tooltip="Open in back office"/>
    <hyperlink ref="A53" r:id="rId52" tooltip="Open in back office"/>
    <hyperlink ref="A54" r:id="rId53" tooltip="Open in back office"/>
    <hyperlink ref="A55" r:id="rId54" tooltip="Open in back office"/>
    <hyperlink ref="A56" r:id="rId55" tooltip="Open in back office"/>
    <hyperlink ref="A57" r:id="rId56" tooltip="Open in back office"/>
    <hyperlink ref="A58" r:id="rId57" tooltip="Open in back office"/>
    <hyperlink ref="A59" r:id="rId58" tooltip="Open in back office"/>
    <hyperlink ref="A60" r:id="rId59" tooltip="Open in back office"/>
    <hyperlink ref="A61" r:id="rId60" tooltip="Open in back office"/>
    <hyperlink ref="A62" r:id="rId61" tooltip="Open in back office"/>
    <hyperlink ref="A63" r:id="rId62" tooltip="Open in back office"/>
    <hyperlink ref="A64" r:id="rId63" tooltip="Open in back office"/>
    <hyperlink ref="A65" r:id="rId64" tooltip="Open in back office"/>
    <hyperlink ref="A66" r:id="rId65" tooltip="Open in back office"/>
    <hyperlink ref="A67" r:id="rId66" tooltip="Open in back office"/>
    <hyperlink ref="A68" r:id="rId67" tooltip="Open in back office"/>
    <hyperlink ref="A69" r:id="rId68" tooltip="Open in back office"/>
    <hyperlink ref="A70" r:id="rId69" tooltip="Open in back office"/>
    <hyperlink ref="A71" r:id="rId70" tooltip="Open in back office"/>
    <hyperlink ref="A72" r:id="rId71" tooltip="Open in back office"/>
  </hyperlinks>
  <printOptions horizontalCentered="1"/>
  <pageMargins left="0.5" right="0.5" top="0.8" bottom="0.8" header="0.3" footer="0.3"/>
  <pageSetup paperSize="9" orientation="landscape" horizontalDpi="4294967295" verticalDpi="4294967295" scale="100" fitToWidth="1" fitToHeight="0"/>
  <headerFooter>
    <oddHeader>&amp;L&amp;"Calibri,Bold"Nexora back office&amp;C&amp;"Calibri,Regular"Monthly report · September 2026&amp;R&amp;"Calibri,Regular"Internal — not for distribution</oddHeader>
    <oddFooter>&amp;L&amp;"Calibri,Regular"Generated 10 Oct 2026, 02:30 UTC&amp;R&amp;"Calibri,Regular"Page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C0C4"/>
    <pageSetUpPr fitToPage="1"/>
  </sheetPr>
  <dimension ref="B2:C10"/>
  <sheetViews>
    <sheetView workbookViewId="0" showGridLines="0"/>
  </sheetViews>
  <sheetFormatPr defaultRowHeight="18" outlineLevelRow="0" outlineLevelCol="0" x14ac:dyDescent="55" customHeight="1"/>
  <cols>
    <col min="1" max="1" width="2" customWidth="1"/>
    <col min="2" max="2" width="5" customWidth="1"/>
    <col min="3" max="3" width="100" customWidth="1"/>
  </cols>
  <sheetData>
    <row r="2" ht="28" customHeight="1" spans="2:2" x14ac:dyDescent="0.25">
      <c r="B2" s="53" t="s">
        <v>147</v>
      </c>
    </row>
    <row r="4" ht="30" customHeight="1" spans="2:3" x14ac:dyDescent="0.25">
      <c r="B4" s="54">
        <v>1</v>
      </c>
      <c r="C4" s="55" t="s">
        <v>148</v>
      </c>
    </row>
    <row r="5" ht="30" customHeight="1" spans="2:3" x14ac:dyDescent="0.25">
      <c r="B5" s="54">
        <v>2</v>
      </c>
      <c r="C5" s="55" t="s">
        <v>149</v>
      </c>
    </row>
    <row r="6" ht="30" customHeight="1" spans="2:3" x14ac:dyDescent="0.25">
      <c r="B6" s="54">
        <v>3</v>
      </c>
      <c r="C6" s="55" t="s">
        <v>150</v>
      </c>
    </row>
    <row r="7" ht="44" customHeight="1" spans="2:3" x14ac:dyDescent="0.25">
      <c r="B7" s="54">
        <v>4</v>
      </c>
      <c r="C7" s="55" t="s">
        <v>151</v>
      </c>
    </row>
    <row r="8" ht="44" customHeight="1" spans="2:3" x14ac:dyDescent="0.25">
      <c r="B8" s="54">
        <v>5</v>
      </c>
      <c r="C8" s="55" t="s">
        <v>152</v>
      </c>
    </row>
    <row r="9" ht="30" customHeight="1" spans="2:3" x14ac:dyDescent="0.25">
      <c r="B9" s="54">
        <v>6</v>
      </c>
      <c r="C9" s="55" t="s">
        <v>153</v>
      </c>
    </row>
    <row r="10" ht="44" customHeight="1" spans="2:3" x14ac:dyDescent="0.25">
      <c r="B10" s="54">
        <v>7</v>
      </c>
      <c r="C10" s="55" t="s">
        <v>154</v>
      </c>
    </row>
  </sheetData>
  <printOptions horizontalCentered="1"/>
  <pageMargins left="0.5" right="0.5" top="0.8" bottom="0.8" header="0.3" footer="0.3"/>
  <pageSetup paperSize="9" orientation="portrait" horizontalDpi="4294967295" verticalDpi="4294967295" scale="100" fitToWidth="1" fitToHeight="0"/>
  <headerFooter>
    <oddHeader>&amp;L&amp;"Calibri,Bold"Nexora back office&amp;C&amp;"Calibri,Regular"Monthly report · September 2026&amp;R&amp;"Calibri,Regular"Internal — not for distribution</oddHeader>
    <oddFooter>&amp;L&amp;"Calibri,Regular"Generated 10 Oct 2026, 02:30 UTC&amp;R&amp;"Calibri,Regular"Page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Bookings</vt:lpstr>
      <vt:lpstr>Operations</vt:lpstr>
      <vt:lpstr>Detail (created this month)</vt:lpstr>
      <vt:lpstr>Definitions</vt:lpstr>
    </vt:vector>
  </TitlesOfParts>
  <Company>Nexora Travel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back office</dc:creator>
  <dc:title>Nexora — monthly report 2026-09</dc:title>
  <dc:subject>Monthly report, September 2026</dc:subject>
  <dc:description/>
  <cp:keywords/>
  <cp:category/>
  <cp:lastModifiedBy>Nexora back office</cp:lastModifiedBy>
  <dcterms:created xsi:type="dcterms:W3CDTF">2026-10-10T02:30:00Z</dcterms:created>
  <dcterms:modified xsi:type="dcterms:W3CDTF">2026-10-10T02:30:00Z</dcterms:modified>
</cp:coreProperties>
</file>